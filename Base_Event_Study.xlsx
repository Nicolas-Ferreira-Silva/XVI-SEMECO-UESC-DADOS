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nico\OneDrive\Área de Trabalho\Artigo\Dados\"/>
    </mc:Choice>
  </mc:AlternateContent>
  <xr:revisionPtr revIDLastSave="0" documentId="13_ncr:1_{B19549D1-9EE3-4D03-847A-AA02A507DA9E}" xr6:coauthVersionLast="47" xr6:coauthVersionMax="47" xr10:uidLastSave="{00000000-0000-0000-0000-000000000000}"/>
  <bookViews>
    <workbookView xWindow="-120" yWindow="-120" windowWidth="29040" windowHeight="15840" xr2:uid="{820BDA17-5A2A-4055-B3B8-321F7BF88991}"/>
  </bookViews>
  <sheets>
    <sheet name="EV1" sheetId="1" r:id="rId1"/>
    <sheet name="EV2" sheetId="5" r:id="rId2"/>
    <sheet name="EV1-ER-AR" sheetId="3" r:id="rId3"/>
    <sheet name="EV2-ER-AR" sheetId="6" r:id="rId4"/>
    <sheet name="RESULTADOS_R" sheetId="2" r:id="rId5"/>
    <sheet name="EVENT-STUDY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5" i="4" l="1"/>
  <c r="C35" i="4" s="1"/>
  <c r="B36" i="4"/>
  <c r="C36" i="4" s="1"/>
  <c r="B37" i="4"/>
  <c r="C37" i="4" s="1"/>
  <c r="B38" i="4"/>
  <c r="C38" i="4" s="1"/>
  <c r="B39" i="4"/>
  <c r="C39" i="4" s="1"/>
  <c r="B40" i="4"/>
  <c r="C40" i="4" s="1"/>
  <c r="B34" i="4"/>
  <c r="C34" i="4" s="1"/>
  <c r="AZ3" i="6"/>
  <c r="BA3" i="6" s="1"/>
  <c r="AZ4" i="6"/>
  <c r="BA4" i="6" s="1"/>
  <c r="AZ5" i="6"/>
  <c r="BA5" i="6" s="1"/>
  <c r="AZ6" i="6"/>
  <c r="BA6" i="6" s="1"/>
  <c r="AZ7" i="6"/>
  <c r="BA7" i="6" s="1"/>
  <c r="AZ8" i="6"/>
  <c r="BA8" i="6" s="1"/>
  <c r="AZ9" i="6"/>
  <c r="BA9" i="6" s="1"/>
  <c r="AZ10" i="6"/>
  <c r="BA10" i="6" s="1"/>
  <c r="AZ11" i="6"/>
  <c r="BA11" i="6" s="1"/>
  <c r="AZ12" i="6"/>
  <c r="BA12" i="6" s="1"/>
  <c r="AZ13" i="6"/>
  <c r="BA13" i="6" s="1"/>
  <c r="AZ14" i="6"/>
  <c r="BA14" i="6" s="1"/>
  <c r="AZ15" i="6"/>
  <c r="BA15" i="6" s="1"/>
  <c r="AZ16" i="6"/>
  <c r="BA16" i="6" s="1"/>
  <c r="AZ17" i="6"/>
  <c r="BA17" i="6" s="1"/>
  <c r="AZ18" i="6"/>
  <c r="BA18" i="6" s="1"/>
  <c r="AZ19" i="6"/>
  <c r="BA19" i="6" s="1"/>
  <c r="AZ20" i="6"/>
  <c r="BA20" i="6" s="1"/>
  <c r="AZ21" i="6"/>
  <c r="BA21" i="6" s="1"/>
  <c r="AZ22" i="6"/>
  <c r="BA22" i="6" s="1"/>
  <c r="AZ23" i="6"/>
  <c r="BA23" i="6" s="1"/>
  <c r="AZ24" i="6"/>
  <c r="BA24" i="6" s="1"/>
  <c r="AZ25" i="6"/>
  <c r="BA25" i="6" s="1"/>
  <c r="AZ26" i="6"/>
  <c r="BA26" i="6" s="1"/>
  <c r="AZ27" i="6"/>
  <c r="BA27" i="6" s="1"/>
  <c r="AZ28" i="6"/>
  <c r="BA28" i="6" s="1"/>
  <c r="AZ29" i="6"/>
  <c r="BA29" i="6" s="1"/>
  <c r="AZ30" i="6"/>
  <c r="BA30" i="6" s="1"/>
  <c r="AZ31" i="6"/>
  <c r="BA31" i="6" s="1"/>
  <c r="AZ32" i="6"/>
  <c r="BA32" i="6" s="1"/>
  <c r="AZ33" i="6"/>
  <c r="BA33" i="6" s="1"/>
  <c r="AZ34" i="6"/>
  <c r="BA34" i="6" s="1"/>
  <c r="AZ35" i="6"/>
  <c r="BA35" i="6" s="1"/>
  <c r="AZ36" i="6"/>
  <c r="BA36" i="6" s="1"/>
  <c r="AZ37" i="6"/>
  <c r="BA37" i="6" s="1"/>
  <c r="AZ38" i="6"/>
  <c r="BA38" i="6" s="1"/>
  <c r="AZ39" i="6"/>
  <c r="BA39" i="6" s="1"/>
  <c r="AZ40" i="6"/>
  <c r="BA40" i="6" s="1"/>
  <c r="AZ41" i="6"/>
  <c r="BA41" i="6" s="1"/>
  <c r="AZ42" i="6"/>
  <c r="BA42" i="6" s="1"/>
  <c r="AZ43" i="6"/>
  <c r="BA43" i="6" s="1"/>
  <c r="AZ44" i="6"/>
  <c r="BA44" i="6" s="1"/>
  <c r="AZ45" i="6"/>
  <c r="BA45" i="6" s="1"/>
  <c r="AZ46" i="6"/>
  <c r="BA46" i="6" s="1"/>
  <c r="AZ47" i="6"/>
  <c r="BA47" i="6" s="1"/>
  <c r="AZ48" i="6"/>
  <c r="BA48" i="6" s="1"/>
  <c r="AZ49" i="6"/>
  <c r="BA49" i="6" s="1"/>
  <c r="AZ50" i="6"/>
  <c r="BA50" i="6" s="1"/>
  <c r="AZ51" i="6"/>
  <c r="BA51" i="6" s="1"/>
  <c r="AZ52" i="6"/>
  <c r="BA52" i="6" s="1"/>
  <c r="AZ53" i="6"/>
  <c r="BA53" i="6" s="1"/>
  <c r="AZ54" i="6"/>
  <c r="BA54" i="6" s="1"/>
  <c r="AZ55" i="6"/>
  <c r="BA55" i="6" s="1"/>
  <c r="AZ56" i="6"/>
  <c r="BA56" i="6" s="1"/>
  <c r="AZ57" i="6"/>
  <c r="BA57" i="6" s="1"/>
  <c r="AZ58" i="6"/>
  <c r="BA58" i="6" s="1"/>
  <c r="AZ59" i="6"/>
  <c r="BA59" i="6" s="1"/>
  <c r="AZ60" i="6"/>
  <c r="BA60" i="6" s="1"/>
  <c r="AZ61" i="6"/>
  <c r="BA61" i="6" s="1"/>
  <c r="AZ62" i="6"/>
  <c r="BA62" i="6" s="1"/>
  <c r="AZ63" i="6"/>
  <c r="BA63" i="6" s="1"/>
  <c r="AZ64" i="6"/>
  <c r="BA64" i="6" s="1"/>
  <c r="AZ65" i="6"/>
  <c r="BA65" i="6" s="1"/>
  <c r="AZ66" i="6"/>
  <c r="BA66" i="6" s="1"/>
  <c r="AZ67" i="6"/>
  <c r="BA67" i="6" s="1"/>
  <c r="AZ68" i="6"/>
  <c r="BA68" i="6" s="1"/>
  <c r="AZ69" i="6"/>
  <c r="BA69" i="6" s="1"/>
  <c r="AZ70" i="6"/>
  <c r="BA70" i="6" s="1"/>
  <c r="AZ71" i="6"/>
  <c r="BA71" i="6" s="1"/>
  <c r="AZ72" i="6"/>
  <c r="BA72" i="6" s="1"/>
  <c r="AZ73" i="6"/>
  <c r="BA73" i="6" s="1"/>
  <c r="AZ74" i="6"/>
  <c r="BA74" i="6" s="1"/>
  <c r="AZ75" i="6"/>
  <c r="BA75" i="6" s="1"/>
  <c r="AZ76" i="6"/>
  <c r="BA76" i="6" s="1"/>
  <c r="AZ77" i="6"/>
  <c r="BA77" i="6" s="1"/>
  <c r="AZ78" i="6"/>
  <c r="BA78" i="6" s="1"/>
  <c r="AZ79" i="6"/>
  <c r="BA79" i="6" s="1"/>
  <c r="AZ80" i="6"/>
  <c r="BA80" i="6" s="1"/>
  <c r="AZ81" i="6"/>
  <c r="BA81" i="6" s="1"/>
  <c r="AZ82" i="6"/>
  <c r="BA82" i="6" s="1"/>
  <c r="AZ83" i="6"/>
  <c r="BA83" i="6" s="1"/>
  <c r="AZ84" i="6"/>
  <c r="BA84" i="6" s="1"/>
  <c r="AZ85" i="6"/>
  <c r="BA85" i="6" s="1"/>
  <c r="AZ86" i="6"/>
  <c r="BA86" i="6" s="1"/>
  <c r="AZ87" i="6"/>
  <c r="BA87" i="6" s="1"/>
  <c r="AZ88" i="6"/>
  <c r="BA88" i="6" s="1"/>
  <c r="AZ89" i="6"/>
  <c r="BA89" i="6" s="1"/>
  <c r="AZ90" i="6"/>
  <c r="BA90" i="6" s="1"/>
  <c r="AZ91" i="6"/>
  <c r="BA91" i="6" s="1"/>
  <c r="AZ92" i="6"/>
  <c r="BA92" i="6" s="1"/>
  <c r="AZ93" i="6"/>
  <c r="BA93" i="6" s="1"/>
  <c r="AZ94" i="6"/>
  <c r="BA94" i="6" s="1"/>
  <c r="AZ95" i="6"/>
  <c r="BA95" i="6" s="1"/>
  <c r="AZ96" i="6"/>
  <c r="BA96" i="6" s="1"/>
  <c r="AZ97" i="6"/>
  <c r="BA97" i="6" s="1"/>
  <c r="AZ98" i="6"/>
  <c r="BA98" i="6" s="1"/>
  <c r="AZ99" i="6"/>
  <c r="BA99" i="6" s="1"/>
  <c r="AZ100" i="6"/>
  <c r="BA100" i="6" s="1"/>
  <c r="AZ101" i="6"/>
  <c r="BA101" i="6" s="1"/>
  <c r="AZ102" i="6"/>
  <c r="BA102" i="6" s="1"/>
  <c r="AZ103" i="6"/>
  <c r="BA103" i="6" s="1"/>
  <c r="AZ104" i="6"/>
  <c r="BA104" i="6" s="1"/>
  <c r="AZ105" i="6"/>
  <c r="BA105" i="6" s="1"/>
  <c r="AZ106" i="6"/>
  <c r="BA106" i="6" s="1"/>
  <c r="AZ107" i="6"/>
  <c r="BA107" i="6" s="1"/>
  <c r="AZ108" i="6"/>
  <c r="BA108" i="6" s="1"/>
  <c r="AZ109" i="6"/>
  <c r="BA109" i="6" s="1"/>
  <c r="AZ110" i="6"/>
  <c r="BA110" i="6" s="1"/>
  <c r="AZ111" i="6"/>
  <c r="BA111" i="6" s="1"/>
  <c r="AZ112" i="6"/>
  <c r="BA112" i="6" s="1"/>
  <c r="AZ113" i="6"/>
  <c r="BA113" i="6" s="1"/>
  <c r="AZ114" i="6"/>
  <c r="BA114" i="6" s="1"/>
  <c r="AZ115" i="6"/>
  <c r="BA115" i="6" s="1"/>
  <c r="AZ116" i="6"/>
  <c r="BA116" i="6" s="1"/>
  <c r="AZ117" i="6"/>
  <c r="BA117" i="6" s="1"/>
  <c r="AZ118" i="6"/>
  <c r="BA118" i="6" s="1"/>
  <c r="AZ119" i="6"/>
  <c r="BA119" i="6" s="1"/>
  <c r="AZ120" i="6"/>
  <c r="BA120" i="6" s="1"/>
  <c r="AZ121" i="6"/>
  <c r="BA121" i="6" s="1"/>
  <c r="AZ122" i="6"/>
  <c r="BA122" i="6" s="1"/>
  <c r="AZ123" i="6"/>
  <c r="BA123" i="6" s="1"/>
  <c r="AZ124" i="6"/>
  <c r="BA124" i="6" s="1"/>
  <c r="AZ125" i="6"/>
  <c r="BA125" i="6" s="1"/>
  <c r="AZ126" i="6"/>
  <c r="BA126" i="6" s="1"/>
  <c r="AZ2" i="6"/>
  <c r="BA2" i="6" s="1"/>
  <c r="AT7" i="6"/>
  <c r="AU7" i="6" s="1"/>
  <c r="AT8" i="6"/>
  <c r="AU8" i="6" s="1"/>
  <c r="AT9" i="6"/>
  <c r="AU9" i="6" s="1"/>
  <c r="AT10" i="6"/>
  <c r="AU10" i="6" s="1"/>
  <c r="AT11" i="6"/>
  <c r="AU11" i="6" s="1"/>
  <c r="AT12" i="6"/>
  <c r="AU12" i="6" s="1"/>
  <c r="AT13" i="6"/>
  <c r="AU13" i="6" s="1"/>
  <c r="AT14" i="6"/>
  <c r="AU14" i="6" s="1"/>
  <c r="AT15" i="6"/>
  <c r="AU15" i="6" s="1"/>
  <c r="AT16" i="6"/>
  <c r="AU16" i="6" s="1"/>
  <c r="AT17" i="6"/>
  <c r="AU17" i="6" s="1"/>
  <c r="AT18" i="6"/>
  <c r="AU18" i="6" s="1"/>
  <c r="AT19" i="6"/>
  <c r="AU19" i="6" s="1"/>
  <c r="AT20" i="6"/>
  <c r="AU20" i="6" s="1"/>
  <c r="AT21" i="6"/>
  <c r="AU21" i="6" s="1"/>
  <c r="AT22" i="6"/>
  <c r="AU22" i="6" s="1"/>
  <c r="AT23" i="6"/>
  <c r="AU23" i="6" s="1"/>
  <c r="AT24" i="6"/>
  <c r="AU24" i="6" s="1"/>
  <c r="AT25" i="6"/>
  <c r="AU25" i="6" s="1"/>
  <c r="AT26" i="6"/>
  <c r="AU26" i="6" s="1"/>
  <c r="AT27" i="6"/>
  <c r="AU27" i="6" s="1"/>
  <c r="AT28" i="6"/>
  <c r="AU28" i="6" s="1"/>
  <c r="AT29" i="6"/>
  <c r="AU29" i="6" s="1"/>
  <c r="AT30" i="6"/>
  <c r="AU30" i="6" s="1"/>
  <c r="AT31" i="6"/>
  <c r="AU31" i="6" s="1"/>
  <c r="AT32" i="6"/>
  <c r="AU32" i="6" s="1"/>
  <c r="AT33" i="6"/>
  <c r="AU33" i="6" s="1"/>
  <c r="AT34" i="6"/>
  <c r="AU34" i="6" s="1"/>
  <c r="AT35" i="6"/>
  <c r="AU35" i="6" s="1"/>
  <c r="AT36" i="6"/>
  <c r="AU36" i="6" s="1"/>
  <c r="AT37" i="6"/>
  <c r="AU37" i="6" s="1"/>
  <c r="AT38" i="6"/>
  <c r="AU38" i="6" s="1"/>
  <c r="AT39" i="6"/>
  <c r="AU39" i="6" s="1"/>
  <c r="AT40" i="6"/>
  <c r="AU40" i="6" s="1"/>
  <c r="AT41" i="6"/>
  <c r="AU41" i="6" s="1"/>
  <c r="AT42" i="6"/>
  <c r="AU42" i="6" s="1"/>
  <c r="AT43" i="6"/>
  <c r="AU43" i="6" s="1"/>
  <c r="AT44" i="6"/>
  <c r="AU44" i="6" s="1"/>
  <c r="AT45" i="6"/>
  <c r="AU45" i="6" s="1"/>
  <c r="AT46" i="6"/>
  <c r="AU46" i="6" s="1"/>
  <c r="AT47" i="6"/>
  <c r="AU47" i="6" s="1"/>
  <c r="AT48" i="6"/>
  <c r="AU48" i="6" s="1"/>
  <c r="AT49" i="6"/>
  <c r="AU49" i="6" s="1"/>
  <c r="AT50" i="6"/>
  <c r="AU50" i="6" s="1"/>
  <c r="AT51" i="6"/>
  <c r="AU51" i="6" s="1"/>
  <c r="AT52" i="6"/>
  <c r="AU52" i="6" s="1"/>
  <c r="AT53" i="6"/>
  <c r="AU53" i="6" s="1"/>
  <c r="AT54" i="6"/>
  <c r="AU54" i="6" s="1"/>
  <c r="AT55" i="6"/>
  <c r="AU55" i="6" s="1"/>
  <c r="AT56" i="6"/>
  <c r="AU56" i="6" s="1"/>
  <c r="AT57" i="6"/>
  <c r="AU57" i="6" s="1"/>
  <c r="AT58" i="6"/>
  <c r="AU58" i="6" s="1"/>
  <c r="AT59" i="6"/>
  <c r="AU59" i="6" s="1"/>
  <c r="AT60" i="6"/>
  <c r="AU60" i="6" s="1"/>
  <c r="AT61" i="6"/>
  <c r="AU61" i="6" s="1"/>
  <c r="AT62" i="6"/>
  <c r="AU62" i="6" s="1"/>
  <c r="AT63" i="6"/>
  <c r="AU63" i="6" s="1"/>
  <c r="AT64" i="6"/>
  <c r="AU64" i="6" s="1"/>
  <c r="AT65" i="6"/>
  <c r="AU65" i="6" s="1"/>
  <c r="AT66" i="6"/>
  <c r="AU66" i="6" s="1"/>
  <c r="AT67" i="6"/>
  <c r="AU67" i="6" s="1"/>
  <c r="AT68" i="6"/>
  <c r="AU68" i="6" s="1"/>
  <c r="AT69" i="6"/>
  <c r="AU69" i="6" s="1"/>
  <c r="AT70" i="6"/>
  <c r="AU70" i="6" s="1"/>
  <c r="AT71" i="6"/>
  <c r="AU71" i="6" s="1"/>
  <c r="AT72" i="6"/>
  <c r="AU72" i="6" s="1"/>
  <c r="AT73" i="6"/>
  <c r="AU73" i="6" s="1"/>
  <c r="AT74" i="6"/>
  <c r="AU74" i="6" s="1"/>
  <c r="AT75" i="6"/>
  <c r="AU75" i="6" s="1"/>
  <c r="AT76" i="6"/>
  <c r="AU76" i="6" s="1"/>
  <c r="AT77" i="6"/>
  <c r="AU77" i="6" s="1"/>
  <c r="AT78" i="6"/>
  <c r="AU78" i="6" s="1"/>
  <c r="AT79" i="6"/>
  <c r="AU79" i="6" s="1"/>
  <c r="AT80" i="6"/>
  <c r="AU80" i="6" s="1"/>
  <c r="AT81" i="6"/>
  <c r="AU81" i="6" s="1"/>
  <c r="AT82" i="6"/>
  <c r="AU82" i="6" s="1"/>
  <c r="AT83" i="6"/>
  <c r="AU83" i="6" s="1"/>
  <c r="AT84" i="6"/>
  <c r="AU84" i="6" s="1"/>
  <c r="AT85" i="6"/>
  <c r="AU85" i="6" s="1"/>
  <c r="AT86" i="6"/>
  <c r="AU86" i="6" s="1"/>
  <c r="AT87" i="6"/>
  <c r="AU87" i="6" s="1"/>
  <c r="AT88" i="6"/>
  <c r="AU88" i="6" s="1"/>
  <c r="AT89" i="6"/>
  <c r="AU89" i="6" s="1"/>
  <c r="AT90" i="6"/>
  <c r="AU90" i="6" s="1"/>
  <c r="AT91" i="6"/>
  <c r="AU91" i="6" s="1"/>
  <c r="AT92" i="6"/>
  <c r="AU92" i="6" s="1"/>
  <c r="AT93" i="6"/>
  <c r="AU93" i="6" s="1"/>
  <c r="AT94" i="6"/>
  <c r="AU94" i="6" s="1"/>
  <c r="AT95" i="6"/>
  <c r="AU95" i="6" s="1"/>
  <c r="AT96" i="6"/>
  <c r="AU96" i="6" s="1"/>
  <c r="AT97" i="6"/>
  <c r="AU97" i="6" s="1"/>
  <c r="AT98" i="6"/>
  <c r="AU98" i="6" s="1"/>
  <c r="AT99" i="6"/>
  <c r="AU99" i="6" s="1"/>
  <c r="AT100" i="6"/>
  <c r="AU100" i="6" s="1"/>
  <c r="AT101" i="6"/>
  <c r="AU101" i="6" s="1"/>
  <c r="AT102" i="6"/>
  <c r="AU102" i="6" s="1"/>
  <c r="AT103" i="6"/>
  <c r="AU103" i="6" s="1"/>
  <c r="AT104" i="6"/>
  <c r="AU104" i="6" s="1"/>
  <c r="AT105" i="6"/>
  <c r="AU105" i="6" s="1"/>
  <c r="AT106" i="6"/>
  <c r="AU106" i="6" s="1"/>
  <c r="AT107" i="6"/>
  <c r="AU107" i="6" s="1"/>
  <c r="AT108" i="6"/>
  <c r="AU108" i="6" s="1"/>
  <c r="AT109" i="6"/>
  <c r="AU109" i="6" s="1"/>
  <c r="AT110" i="6"/>
  <c r="AU110" i="6" s="1"/>
  <c r="AT111" i="6"/>
  <c r="AU111" i="6" s="1"/>
  <c r="AT112" i="6"/>
  <c r="AU112" i="6" s="1"/>
  <c r="AT113" i="6"/>
  <c r="AU113" i="6" s="1"/>
  <c r="AT114" i="6"/>
  <c r="AU114" i="6" s="1"/>
  <c r="AT115" i="6"/>
  <c r="AU115" i="6" s="1"/>
  <c r="AT116" i="6"/>
  <c r="AU116" i="6" s="1"/>
  <c r="AT117" i="6"/>
  <c r="AU117" i="6" s="1"/>
  <c r="AT118" i="6"/>
  <c r="AU118" i="6" s="1"/>
  <c r="AT119" i="6"/>
  <c r="AU119" i="6" s="1"/>
  <c r="AT120" i="6"/>
  <c r="AU120" i="6" s="1"/>
  <c r="AT121" i="6"/>
  <c r="AU121" i="6" s="1"/>
  <c r="AT122" i="6"/>
  <c r="AU122" i="6" s="1"/>
  <c r="AT123" i="6"/>
  <c r="AU123" i="6" s="1"/>
  <c r="AT124" i="6"/>
  <c r="AU124" i="6" s="1"/>
  <c r="AT125" i="6"/>
  <c r="AU125" i="6" s="1"/>
  <c r="AT126" i="6"/>
  <c r="AU126" i="6" s="1"/>
  <c r="AT6" i="6"/>
  <c r="AU6" i="6" s="1"/>
  <c r="AJ7" i="6"/>
  <c r="AK7" i="6" s="1"/>
  <c r="AJ8" i="6"/>
  <c r="AK8" i="6" s="1"/>
  <c r="AJ9" i="6"/>
  <c r="AK9" i="6" s="1"/>
  <c r="AJ10" i="6"/>
  <c r="AK10" i="6" s="1"/>
  <c r="AJ11" i="6"/>
  <c r="AK11" i="6" s="1"/>
  <c r="AJ12" i="6"/>
  <c r="AK12" i="6" s="1"/>
  <c r="AJ13" i="6"/>
  <c r="AK13" i="6" s="1"/>
  <c r="AJ14" i="6"/>
  <c r="AK14" i="6" s="1"/>
  <c r="AJ15" i="6"/>
  <c r="AK15" i="6" s="1"/>
  <c r="AJ16" i="6"/>
  <c r="AK16" i="6" s="1"/>
  <c r="AJ17" i="6"/>
  <c r="AK17" i="6" s="1"/>
  <c r="AJ18" i="6"/>
  <c r="AK18" i="6" s="1"/>
  <c r="AJ19" i="6"/>
  <c r="AK19" i="6" s="1"/>
  <c r="AJ20" i="6"/>
  <c r="AK20" i="6" s="1"/>
  <c r="AJ21" i="6"/>
  <c r="AK21" i="6" s="1"/>
  <c r="AJ22" i="6"/>
  <c r="AK22" i="6" s="1"/>
  <c r="AJ23" i="6"/>
  <c r="AK23" i="6" s="1"/>
  <c r="AJ24" i="6"/>
  <c r="AK24" i="6" s="1"/>
  <c r="AJ25" i="6"/>
  <c r="AK25" i="6" s="1"/>
  <c r="AJ26" i="6"/>
  <c r="AK26" i="6" s="1"/>
  <c r="AJ27" i="6"/>
  <c r="AK27" i="6" s="1"/>
  <c r="AJ28" i="6"/>
  <c r="AK28" i="6" s="1"/>
  <c r="AJ29" i="6"/>
  <c r="AK29" i="6" s="1"/>
  <c r="AJ30" i="6"/>
  <c r="AK30" i="6" s="1"/>
  <c r="AJ31" i="6"/>
  <c r="AK31" i="6" s="1"/>
  <c r="AJ32" i="6"/>
  <c r="AK32" i="6" s="1"/>
  <c r="AJ33" i="6"/>
  <c r="AK33" i="6" s="1"/>
  <c r="AJ34" i="6"/>
  <c r="AK34" i="6" s="1"/>
  <c r="AJ35" i="6"/>
  <c r="AK35" i="6" s="1"/>
  <c r="AJ36" i="6"/>
  <c r="AK36" i="6" s="1"/>
  <c r="AJ37" i="6"/>
  <c r="AK37" i="6" s="1"/>
  <c r="AJ38" i="6"/>
  <c r="AK38" i="6" s="1"/>
  <c r="AJ39" i="6"/>
  <c r="AK39" i="6" s="1"/>
  <c r="AJ40" i="6"/>
  <c r="AK40" i="6" s="1"/>
  <c r="AJ41" i="6"/>
  <c r="AK41" i="6" s="1"/>
  <c r="AJ42" i="6"/>
  <c r="AK42" i="6" s="1"/>
  <c r="AJ43" i="6"/>
  <c r="AK43" i="6" s="1"/>
  <c r="AJ44" i="6"/>
  <c r="AK44" i="6" s="1"/>
  <c r="AJ45" i="6"/>
  <c r="AK45" i="6" s="1"/>
  <c r="AJ46" i="6"/>
  <c r="AK46" i="6" s="1"/>
  <c r="AJ47" i="6"/>
  <c r="AK47" i="6" s="1"/>
  <c r="AJ48" i="6"/>
  <c r="AK48" i="6" s="1"/>
  <c r="AJ49" i="6"/>
  <c r="AK49" i="6" s="1"/>
  <c r="AJ50" i="6"/>
  <c r="AK50" i="6" s="1"/>
  <c r="AJ51" i="6"/>
  <c r="AK51" i="6" s="1"/>
  <c r="AJ52" i="6"/>
  <c r="AK52" i="6" s="1"/>
  <c r="AJ53" i="6"/>
  <c r="AK53" i="6" s="1"/>
  <c r="AJ54" i="6"/>
  <c r="AK54" i="6" s="1"/>
  <c r="AJ55" i="6"/>
  <c r="AK55" i="6" s="1"/>
  <c r="AJ56" i="6"/>
  <c r="AK56" i="6" s="1"/>
  <c r="AJ57" i="6"/>
  <c r="AK57" i="6" s="1"/>
  <c r="AJ58" i="6"/>
  <c r="AK58" i="6" s="1"/>
  <c r="AJ59" i="6"/>
  <c r="AK59" i="6" s="1"/>
  <c r="AJ60" i="6"/>
  <c r="AK60" i="6" s="1"/>
  <c r="AJ61" i="6"/>
  <c r="AK61" i="6" s="1"/>
  <c r="AJ62" i="6"/>
  <c r="AK62" i="6" s="1"/>
  <c r="AJ63" i="6"/>
  <c r="AK63" i="6" s="1"/>
  <c r="AJ64" i="6"/>
  <c r="AK64" i="6" s="1"/>
  <c r="AJ65" i="6"/>
  <c r="AK65" i="6" s="1"/>
  <c r="AJ66" i="6"/>
  <c r="AK66" i="6" s="1"/>
  <c r="AJ67" i="6"/>
  <c r="AK67" i="6" s="1"/>
  <c r="AJ68" i="6"/>
  <c r="AK68" i="6" s="1"/>
  <c r="AJ69" i="6"/>
  <c r="AK69" i="6" s="1"/>
  <c r="AJ70" i="6"/>
  <c r="AK70" i="6" s="1"/>
  <c r="AJ71" i="6"/>
  <c r="AK71" i="6" s="1"/>
  <c r="AJ72" i="6"/>
  <c r="AK72" i="6" s="1"/>
  <c r="AJ73" i="6"/>
  <c r="AK73" i="6" s="1"/>
  <c r="AJ74" i="6"/>
  <c r="AK74" i="6" s="1"/>
  <c r="AJ75" i="6"/>
  <c r="AK75" i="6" s="1"/>
  <c r="AJ76" i="6"/>
  <c r="AK76" i="6" s="1"/>
  <c r="AJ77" i="6"/>
  <c r="AK77" i="6" s="1"/>
  <c r="AJ78" i="6"/>
  <c r="AK78" i="6" s="1"/>
  <c r="AJ79" i="6"/>
  <c r="AK79" i="6" s="1"/>
  <c r="AJ80" i="6"/>
  <c r="AK80" i="6" s="1"/>
  <c r="AJ81" i="6"/>
  <c r="AK81" i="6" s="1"/>
  <c r="AJ82" i="6"/>
  <c r="AK82" i="6" s="1"/>
  <c r="AJ83" i="6"/>
  <c r="AK83" i="6" s="1"/>
  <c r="AJ84" i="6"/>
  <c r="AK84" i="6" s="1"/>
  <c r="AJ85" i="6"/>
  <c r="AK85" i="6" s="1"/>
  <c r="AJ86" i="6"/>
  <c r="AK86" i="6" s="1"/>
  <c r="AJ87" i="6"/>
  <c r="AK87" i="6" s="1"/>
  <c r="AJ88" i="6"/>
  <c r="AK88" i="6" s="1"/>
  <c r="AJ89" i="6"/>
  <c r="AK89" i="6" s="1"/>
  <c r="AJ90" i="6"/>
  <c r="AK90" i="6" s="1"/>
  <c r="AJ91" i="6"/>
  <c r="AK91" i="6" s="1"/>
  <c r="AJ92" i="6"/>
  <c r="AK92" i="6" s="1"/>
  <c r="AJ93" i="6"/>
  <c r="AK93" i="6" s="1"/>
  <c r="AJ94" i="6"/>
  <c r="AK94" i="6" s="1"/>
  <c r="AJ95" i="6"/>
  <c r="AK95" i="6" s="1"/>
  <c r="AJ96" i="6"/>
  <c r="AK96" i="6" s="1"/>
  <c r="AJ97" i="6"/>
  <c r="AK97" i="6" s="1"/>
  <c r="AJ98" i="6"/>
  <c r="AK98" i="6" s="1"/>
  <c r="AJ99" i="6"/>
  <c r="AK99" i="6" s="1"/>
  <c r="AJ100" i="6"/>
  <c r="AK100" i="6" s="1"/>
  <c r="AJ101" i="6"/>
  <c r="AK101" i="6" s="1"/>
  <c r="AJ102" i="6"/>
  <c r="AK102" i="6" s="1"/>
  <c r="AJ103" i="6"/>
  <c r="AK103" i="6" s="1"/>
  <c r="AJ104" i="6"/>
  <c r="AK104" i="6" s="1"/>
  <c r="AJ105" i="6"/>
  <c r="AK105" i="6" s="1"/>
  <c r="AJ106" i="6"/>
  <c r="AK106" i="6" s="1"/>
  <c r="AJ107" i="6"/>
  <c r="AK107" i="6" s="1"/>
  <c r="AJ108" i="6"/>
  <c r="AK108" i="6" s="1"/>
  <c r="AJ109" i="6"/>
  <c r="AK109" i="6" s="1"/>
  <c r="AJ110" i="6"/>
  <c r="AK110" i="6" s="1"/>
  <c r="AJ111" i="6"/>
  <c r="AK111" i="6" s="1"/>
  <c r="AJ112" i="6"/>
  <c r="AK112" i="6" s="1"/>
  <c r="AJ113" i="6"/>
  <c r="AK113" i="6" s="1"/>
  <c r="AJ114" i="6"/>
  <c r="AK114" i="6" s="1"/>
  <c r="AJ115" i="6"/>
  <c r="AK115" i="6" s="1"/>
  <c r="AJ116" i="6"/>
  <c r="AK116" i="6" s="1"/>
  <c r="AJ117" i="6"/>
  <c r="AK117" i="6" s="1"/>
  <c r="AJ118" i="6"/>
  <c r="AK118" i="6" s="1"/>
  <c r="AJ119" i="6"/>
  <c r="AK119" i="6" s="1"/>
  <c r="AJ120" i="6"/>
  <c r="AK120" i="6" s="1"/>
  <c r="AJ121" i="6"/>
  <c r="AK121" i="6" s="1"/>
  <c r="AJ122" i="6"/>
  <c r="AK122" i="6" s="1"/>
  <c r="AJ123" i="6"/>
  <c r="AK123" i="6" s="1"/>
  <c r="AJ124" i="6"/>
  <c r="AK124" i="6" s="1"/>
  <c r="AJ125" i="6"/>
  <c r="AK125" i="6" s="1"/>
  <c r="AJ126" i="6"/>
  <c r="AK126" i="6" s="1"/>
  <c r="AJ6" i="6"/>
  <c r="AK6" i="6" s="1"/>
  <c r="Z3" i="6"/>
  <c r="AA3" i="6" s="1"/>
  <c r="Z4" i="6"/>
  <c r="AA4" i="6" s="1"/>
  <c r="Z5" i="6"/>
  <c r="AA5" i="6" s="1"/>
  <c r="Z6" i="6"/>
  <c r="AA6" i="6" s="1"/>
  <c r="Z7" i="6"/>
  <c r="AA7" i="6" s="1"/>
  <c r="Z8" i="6"/>
  <c r="AA8" i="6" s="1"/>
  <c r="Z9" i="6"/>
  <c r="AA9" i="6" s="1"/>
  <c r="Z10" i="6"/>
  <c r="AA10" i="6" s="1"/>
  <c r="Z11" i="6"/>
  <c r="AA11" i="6" s="1"/>
  <c r="Z12" i="6"/>
  <c r="AA12" i="6" s="1"/>
  <c r="Z13" i="6"/>
  <c r="AA13" i="6" s="1"/>
  <c r="Z14" i="6"/>
  <c r="AA14" i="6" s="1"/>
  <c r="Z15" i="6"/>
  <c r="AA15" i="6" s="1"/>
  <c r="Z16" i="6"/>
  <c r="AA16" i="6" s="1"/>
  <c r="Z17" i="6"/>
  <c r="AA17" i="6" s="1"/>
  <c r="Z18" i="6"/>
  <c r="AA18" i="6" s="1"/>
  <c r="Z19" i="6"/>
  <c r="AA19" i="6" s="1"/>
  <c r="Z20" i="6"/>
  <c r="AA20" i="6" s="1"/>
  <c r="Z21" i="6"/>
  <c r="AA21" i="6" s="1"/>
  <c r="Z22" i="6"/>
  <c r="AA22" i="6" s="1"/>
  <c r="Z23" i="6"/>
  <c r="AA23" i="6" s="1"/>
  <c r="Z24" i="6"/>
  <c r="AA24" i="6" s="1"/>
  <c r="Z25" i="6"/>
  <c r="AA25" i="6" s="1"/>
  <c r="Z26" i="6"/>
  <c r="AA26" i="6" s="1"/>
  <c r="Z27" i="6"/>
  <c r="AA27" i="6" s="1"/>
  <c r="Z28" i="6"/>
  <c r="AA28" i="6" s="1"/>
  <c r="Z29" i="6"/>
  <c r="AA29" i="6" s="1"/>
  <c r="Z30" i="6"/>
  <c r="AA30" i="6" s="1"/>
  <c r="Z31" i="6"/>
  <c r="AA31" i="6" s="1"/>
  <c r="Z32" i="6"/>
  <c r="AA32" i="6" s="1"/>
  <c r="Z33" i="6"/>
  <c r="AA33" i="6" s="1"/>
  <c r="Z34" i="6"/>
  <c r="AA34" i="6" s="1"/>
  <c r="Z35" i="6"/>
  <c r="AA35" i="6" s="1"/>
  <c r="Z36" i="6"/>
  <c r="AA36" i="6" s="1"/>
  <c r="Z37" i="6"/>
  <c r="AA37" i="6" s="1"/>
  <c r="Z38" i="6"/>
  <c r="AA38" i="6" s="1"/>
  <c r="Z39" i="6"/>
  <c r="AA39" i="6" s="1"/>
  <c r="Z40" i="6"/>
  <c r="AA40" i="6" s="1"/>
  <c r="Z41" i="6"/>
  <c r="AA41" i="6" s="1"/>
  <c r="Z42" i="6"/>
  <c r="AA42" i="6" s="1"/>
  <c r="Z43" i="6"/>
  <c r="AA43" i="6" s="1"/>
  <c r="Z44" i="6"/>
  <c r="AA44" i="6" s="1"/>
  <c r="Z45" i="6"/>
  <c r="AA45" i="6" s="1"/>
  <c r="Z46" i="6"/>
  <c r="AA46" i="6" s="1"/>
  <c r="Z47" i="6"/>
  <c r="AA47" i="6" s="1"/>
  <c r="Z48" i="6"/>
  <c r="AA48" i="6" s="1"/>
  <c r="Z49" i="6"/>
  <c r="AA49" i="6" s="1"/>
  <c r="Z50" i="6"/>
  <c r="AA50" i="6" s="1"/>
  <c r="Z51" i="6"/>
  <c r="AA51" i="6" s="1"/>
  <c r="Z52" i="6"/>
  <c r="AA52" i="6" s="1"/>
  <c r="Z53" i="6"/>
  <c r="AA53" i="6" s="1"/>
  <c r="Z54" i="6"/>
  <c r="AA54" i="6" s="1"/>
  <c r="Z55" i="6"/>
  <c r="AA55" i="6" s="1"/>
  <c r="Z56" i="6"/>
  <c r="AA56" i="6" s="1"/>
  <c r="Z57" i="6"/>
  <c r="AA57" i="6" s="1"/>
  <c r="Z58" i="6"/>
  <c r="AA58" i="6" s="1"/>
  <c r="Z59" i="6"/>
  <c r="AA59" i="6" s="1"/>
  <c r="Z60" i="6"/>
  <c r="AA60" i="6" s="1"/>
  <c r="Z61" i="6"/>
  <c r="AA61" i="6" s="1"/>
  <c r="Z62" i="6"/>
  <c r="AA62" i="6" s="1"/>
  <c r="Z63" i="6"/>
  <c r="AA63" i="6" s="1"/>
  <c r="Z64" i="6"/>
  <c r="AA64" i="6" s="1"/>
  <c r="Z65" i="6"/>
  <c r="AA65" i="6" s="1"/>
  <c r="Z66" i="6"/>
  <c r="AA66" i="6" s="1"/>
  <c r="Z67" i="6"/>
  <c r="AA67" i="6" s="1"/>
  <c r="Z68" i="6"/>
  <c r="AA68" i="6" s="1"/>
  <c r="Z69" i="6"/>
  <c r="AA69" i="6" s="1"/>
  <c r="Z70" i="6"/>
  <c r="AA70" i="6" s="1"/>
  <c r="Z71" i="6"/>
  <c r="AA71" i="6" s="1"/>
  <c r="Z72" i="6"/>
  <c r="AA72" i="6" s="1"/>
  <c r="Z73" i="6"/>
  <c r="AA73" i="6" s="1"/>
  <c r="Z74" i="6"/>
  <c r="AA74" i="6" s="1"/>
  <c r="Z75" i="6"/>
  <c r="AA75" i="6" s="1"/>
  <c r="Z76" i="6"/>
  <c r="AA76" i="6" s="1"/>
  <c r="Z77" i="6"/>
  <c r="AA77" i="6" s="1"/>
  <c r="Z78" i="6"/>
  <c r="AA78" i="6" s="1"/>
  <c r="Z79" i="6"/>
  <c r="AA79" i="6" s="1"/>
  <c r="Z80" i="6"/>
  <c r="AA80" i="6" s="1"/>
  <c r="Z81" i="6"/>
  <c r="AA81" i="6" s="1"/>
  <c r="Z82" i="6"/>
  <c r="AA82" i="6" s="1"/>
  <c r="Z83" i="6"/>
  <c r="AA83" i="6" s="1"/>
  <c r="Z84" i="6"/>
  <c r="AA84" i="6" s="1"/>
  <c r="Z85" i="6"/>
  <c r="AA85" i="6" s="1"/>
  <c r="Z86" i="6"/>
  <c r="AA86" i="6" s="1"/>
  <c r="Z87" i="6"/>
  <c r="AA87" i="6" s="1"/>
  <c r="Z88" i="6"/>
  <c r="AA88" i="6" s="1"/>
  <c r="Z89" i="6"/>
  <c r="AA89" i="6" s="1"/>
  <c r="Z90" i="6"/>
  <c r="AA90" i="6" s="1"/>
  <c r="Z91" i="6"/>
  <c r="AA91" i="6" s="1"/>
  <c r="Z92" i="6"/>
  <c r="AA92" i="6" s="1"/>
  <c r="Z93" i="6"/>
  <c r="AA93" i="6" s="1"/>
  <c r="Z94" i="6"/>
  <c r="AA94" i="6" s="1"/>
  <c r="Z95" i="6"/>
  <c r="AA95" i="6" s="1"/>
  <c r="Z96" i="6"/>
  <c r="AA96" i="6" s="1"/>
  <c r="Z97" i="6"/>
  <c r="AA97" i="6" s="1"/>
  <c r="Z98" i="6"/>
  <c r="AA98" i="6" s="1"/>
  <c r="Z99" i="6"/>
  <c r="AA99" i="6" s="1"/>
  <c r="Z100" i="6"/>
  <c r="AA100" i="6" s="1"/>
  <c r="Z101" i="6"/>
  <c r="AA101" i="6" s="1"/>
  <c r="Z102" i="6"/>
  <c r="AA102" i="6" s="1"/>
  <c r="Z103" i="6"/>
  <c r="AA103" i="6" s="1"/>
  <c r="Z104" i="6"/>
  <c r="AA104" i="6" s="1"/>
  <c r="Z105" i="6"/>
  <c r="AA105" i="6" s="1"/>
  <c r="Z106" i="6"/>
  <c r="AA106" i="6" s="1"/>
  <c r="Z107" i="6"/>
  <c r="AA107" i="6" s="1"/>
  <c r="Z108" i="6"/>
  <c r="AA108" i="6" s="1"/>
  <c r="Z109" i="6"/>
  <c r="AA109" i="6" s="1"/>
  <c r="Z110" i="6"/>
  <c r="AA110" i="6" s="1"/>
  <c r="Z111" i="6"/>
  <c r="AA111" i="6" s="1"/>
  <c r="Z112" i="6"/>
  <c r="AA112" i="6" s="1"/>
  <c r="Z113" i="6"/>
  <c r="AA113" i="6" s="1"/>
  <c r="Z114" i="6"/>
  <c r="AA114" i="6" s="1"/>
  <c r="Z115" i="6"/>
  <c r="AA115" i="6" s="1"/>
  <c r="Z116" i="6"/>
  <c r="AA116" i="6" s="1"/>
  <c r="Z117" i="6"/>
  <c r="AA117" i="6" s="1"/>
  <c r="Z118" i="6"/>
  <c r="AA118" i="6" s="1"/>
  <c r="Z119" i="6"/>
  <c r="AA119" i="6" s="1"/>
  <c r="Z120" i="6"/>
  <c r="AA120" i="6" s="1"/>
  <c r="Z121" i="6"/>
  <c r="AA121" i="6" s="1"/>
  <c r="Z122" i="6"/>
  <c r="AA122" i="6" s="1"/>
  <c r="Z123" i="6"/>
  <c r="AA123" i="6" s="1"/>
  <c r="Z124" i="6"/>
  <c r="AA124" i="6" s="1"/>
  <c r="Z125" i="6"/>
  <c r="AA125" i="6" s="1"/>
  <c r="Z126" i="6"/>
  <c r="AA126" i="6" s="1"/>
  <c r="Z2" i="6"/>
  <c r="AA2" i="6" s="1"/>
  <c r="T3" i="6"/>
  <c r="U3" i="6" s="1"/>
  <c r="T4" i="6"/>
  <c r="U4" i="6" s="1"/>
  <c r="T5" i="6"/>
  <c r="U5" i="6" s="1"/>
  <c r="T6" i="6"/>
  <c r="U6" i="6" s="1"/>
  <c r="T7" i="6"/>
  <c r="U7" i="6" s="1"/>
  <c r="T8" i="6"/>
  <c r="U8" i="6" s="1"/>
  <c r="T9" i="6"/>
  <c r="U9" i="6" s="1"/>
  <c r="T10" i="6"/>
  <c r="U10" i="6" s="1"/>
  <c r="T11" i="6"/>
  <c r="U11" i="6" s="1"/>
  <c r="T12" i="6"/>
  <c r="U12" i="6" s="1"/>
  <c r="T13" i="6"/>
  <c r="U13" i="6" s="1"/>
  <c r="T14" i="6"/>
  <c r="U14" i="6" s="1"/>
  <c r="T15" i="6"/>
  <c r="U15" i="6" s="1"/>
  <c r="T16" i="6"/>
  <c r="U16" i="6" s="1"/>
  <c r="T17" i="6"/>
  <c r="U17" i="6" s="1"/>
  <c r="T18" i="6"/>
  <c r="U18" i="6" s="1"/>
  <c r="T19" i="6"/>
  <c r="U19" i="6" s="1"/>
  <c r="T20" i="6"/>
  <c r="U20" i="6" s="1"/>
  <c r="T21" i="6"/>
  <c r="U21" i="6" s="1"/>
  <c r="T22" i="6"/>
  <c r="U22" i="6" s="1"/>
  <c r="T23" i="6"/>
  <c r="U23" i="6" s="1"/>
  <c r="T24" i="6"/>
  <c r="U24" i="6" s="1"/>
  <c r="T25" i="6"/>
  <c r="U25" i="6" s="1"/>
  <c r="T26" i="6"/>
  <c r="U26" i="6" s="1"/>
  <c r="T27" i="6"/>
  <c r="U27" i="6" s="1"/>
  <c r="T28" i="6"/>
  <c r="U28" i="6" s="1"/>
  <c r="T29" i="6"/>
  <c r="U29" i="6" s="1"/>
  <c r="T30" i="6"/>
  <c r="U30" i="6" s="1"/>
  <c r="T31" i="6"/>
  <c r="U31" i="6" s="1"/>
  <c r="T32" i="6"/>
  <c r="U32" i="6" s="1"/>
  <c r="T33" i="6"/>
  <c r="U33" i="6" s="1"/>
  <c r="T34" i="6"/>
  <c r="U34" i="6" s="1"/>
  <c r="T35" i="6"/>
  <c r="U35" i="6" s="1"/>
  <c r="T36" i="6"/>
  <c r="U36" i="6" s="1"/>
  <c r="T37" i="6"/>
  <c r="U37" i="6" s="1"/>
  <c r="T38" i="6"/>
  <c r="U38" i="6" s="1"/>
  <c r="T39" i="6"/>
  <c r="U39" i="6" s="1"/>
  <c r="T40" i="6"/>
  <c r="U40" i="6" s="1"/>
  <c r="T41" i="6"/>
  <c r="U41" i="6" s="1"/>
  <c r="T42" i="6"/>
  <c r="U42" i="6" s="1"/>
  <c r="T43" i="6"/>
  <c r="U43" i="6" s="1"/>
  <c r="T44" i="6"/>
  <c r="U44" i="6" s="1"/>
  <c r="T45" i="6"/>
  <c r="U45" i="6" s="1"/>
  <c r="T46" i="6"/>
  <c r="U46" i="6" s="1"/>
  <c r="T47" i="6"/>
  <c r="U47" i="6" s="1"/>
  <c r="T48" i="6"/>
  <c r="U48" i="6" s="1"/>
  <c r="T49" i="6"/>
  <c r="U49" i="6" s="1"/>
  <c r="T50" i="6"/>
  <c r="U50" i="6" s="1"/>
  <c r="T51" i="6"/>
  <c r="U51" i="6" s="1"/>
  <c r="T52" i="6"/>
  <c r="U52" i="6" s="1"/>
  <c r="T53" i="6"/>
  <c r="U53" i="6" s="1"/>
  <c r="T54" i="6"/>
  <c r="U54" i="6" s="1"/>
  <c r="T55" i="6"/>
  <c r="U55" i="6" s="1"/>
  <c r="T56" i="6"/>
  <c r="U56" i="6" s="1"/>
  <c r="T57" i="6"/>
  <c r="U57" i="6" s="1"/>
  <c r="T58" i="6"/>
  <c r="U58" i="6" s="1"/>
  <c r="T59" i="6"/>
  <c r="U59" i="6" s="1"/>
  <c r="T60" i="6"/>
  <c r="U60" i="6" s="1"/>
  <c r="T61" i="6"/>
  <c r="U61" i="6" s="1"/>
  <c r="T62" i="6"/>
  <c r="U62" i="6" s="1"/>
  <c r="T63" i="6"/>
  <c r="U63" i="6" s="1"/>
  <c r="T64" i="6"/>
  <c r="U64" i="6" s="1"/>
  <c r="T65" i="6"/>
  <c r="U65" i="6" s="1"/>
  <c r="T66" i="6"/>
  <c r="U66" i="6" s="1"/>
  <c r="T67" i="6"/>
  <c r="U67" i="6" s="1"/>
  <c r="T68" i="6"/>
  <c r="U68" i="6" s="1"/>
  <c r="T69" i="6"/>
  <c r="U69" i="6" s="1"/>
  <c r="T70" i="6"/>
  <c r="U70" i="6" s="1"/>
  <c r="T71" i="6"/>
  <c r="U71" i="6" s="1"/>
  <c r="T72" i="6"/>
  <c r="U72" i="6" s="1"/>
  <c r="T73" i="6"/>
  <c r="U73" i="6" s="1"/>
  <c r="T74" i="6"/>
  <c r="U74" i="6" s="1"/>
  <c r="T75" i="6"/>
  <c r="U75" i="6" s="1"/>
  <c r="T76" i="6"/>
  <c r="U76" i="6" s="1"/>
  <c r="T77" i="6"/>
  <c r="U77" i="6" s="1"/>
  <c r="T78" i="6"/>
  <c r="U78" i="6" s="1"/>
  <c r="T79" i="6"/>
  <c r="U79" i="6" s="1"/>
  <c r="T80" i="6"/>
  <c r="U80" i="6" s="1"/>
  <c r="T81" i="6"/>
  <c r="U81" i="6" s="1"/>
  <c r="T82" i="6"/>
  <c r="U82" i="6" s="1"/>
  <c r="T83" i="6"/>
  <c r="U83" i="6" s="1"/>
  <c r="T84" i="6"/>
  <c r="U84" i="6" s="1"/>
  <c r="T85" i="6"/>
  <c r="U85" i="6" s="1"/>
  <c r="T86" i="6"/>
  <c r="U86" i="6" s="1"/>
  <c r="T87" i="6"/>
  <c r="U87" i="6" s="1"/>
  <c r="T88" i="6"/>
  <c r="U88" i="6" s="1"/>
  <c r="T89" i="6"/>
  <c r="U89" i="6" s="1"/>
  <c r="T90" i="6"/>
  <c r="U90" i="6" s="1"/>
  <c r="T91" i="6"/>
  <c r="U91" i="6" s="1"/>
  <c r="T92" i="6"/>
  <c r="U92" i="6" s="1"/>
  <c r="T93" i="6"/>
  <c r="U93" i="6" s="1"/>
  <c r="T94" i="6"/>
  <c r="U94" i="6" s="1"/>
  <c r="T95" i="6"/>
  <c r="U95" i="6" s="1"/>
  <c r="T96" i="6"/>
  <c r="U96" i="6" s="1"/>
  <c r="T97" i="6"/>
  <c r="U97" i="6" s="1"/>
  <c r="T98" i="6"/>
  <c r="U98" i="6" s="1"/>
  <c r="T99" i="6"/>
  <c r="U99" i="6" s="1"/>
  <c r="T100" i="6"/>
  <c r="U100" i="6" s="1"/>
  <c r="T101" i="6"/>
  <c r="U101" i="6" s="1"/>
  <c r="T102" i="6"/>
  <c r="U102" i="6" s="1"/>
  <c r="T103" i="6"/>
  <c r="U103" i="6" s="1"/>
  <c r="T104" i="6"/>
  <c r="U104" i="6" s="1"/>
  <c r="T105" i="6"/>
  <c r="U105" i="6" s="1"/>
  <c r="T106" i="6"/>
  <c r="U106" i="6" s="1"/>
  <c r="T107" i="6"/>
  <c r="U107" i="6" s="1"/>
  <c r="T108" i="6"/>
  <c r="U108" i="6" s="1"/>
  <c r="T109" i="6"/>
  <c r="U109" i="6" s="1"/>
  <c r="T110" i="6"/>
  <c r="U110" i="6" s="1"/>
  <c r="T111" i="6"/>
  <c r="U111" i="6" s="1"/>
  <c r="T112" i="6"/>
  <c r="U112" i="6" s="1"/>
  <c r="T113" i="6"/>
  <c r="U113" i="6" s="1"/>
  <c r="T114" i="6"/>
  <c r="U114" i="6" s="1"/>
  <c r="T115" i="6"/>
  <c r="U115" i="6" s="1"/>
  <c r="T116" i="6"/>
  <c r="U116" i="6" s="1"/>
  <c r="T117" i="6"/>
  <c r="U117" i="6" s="1"/>
  <c r="T118" i="6"/>
  <c r="U118" i="6" s="1"/>
  <c r="T119" i="6"/>
  <c r="U119" i="6" s="1"/>
  <c r="T120" i="6"/>
  <c r="U120" i="6" s="1"/>
  <c r="T121" i="6"/>
  <c r="U121" i="6" s="1"/>
  <c r="T122" i="6"/>
  <c r="U122" i="6" s="1"/>
  <c r="T123" i="6"/>
  <c r="U123" i="6" s="1"/>
  <c r="T124" i="6"/>
  <c r="U124" i="6" s="1"/>
  <c r="T125" i="6"/>
  <c r="U125" i="6" s="1"/>
  <c r="T126" i="6"/>
  <c r="U126" i="6" s="1"/>
  <c r="T2" i="6"/>
  <c r="U2" i="6" s="1"/>
  <c r="N11" i="6"/>
  <c r="O11" i="6" s="1"/>
  <c r="N7" i="6"/>
  <c r="O7" i="6" s="1"/>
  <c r="N8" i="6"/>
  <c r="O8" i="6" s="1"/>
  <c r="N9" i="6"/>
  <c r="O9" i="6" s="1"/>
  <c r="N10" i="6"/>
  <c r="O10" i="6" s="1"/>
  <c r="N12" i="6"/>
  <c r="O12" i="6" s="1"/>
  <c r="N13" i="6"/>
  <c r="O13" i="6" s="1"/>
  <c r="N14" i="6"/>
  <c r="O14" i="6" s="1"/>
  <c r="N15" i="6"/>
  <c r="O15" i="6" s="1"/>
  <c r="N16" i="6"/>
  <c r="O16" i="6" s="1"/>
  <c r="N17" i="6"/>
  <c r="O17" i="6" s="1"/>
  <c r="N18" i="6"/>
  <c r="O18" i="6" s="1"/>
  <c r="N19" i="6"/>
  <c r="O19" i="6" s="1"/>
  <c r="N20" i="6"/>
  <c r="O20" i="6" s="1"/>
  <c r="N21" i="6"/>
  <c r="O21" i="6" s="1"/>
  <c r="N22" i="6"/>
  <c r="O22" i="6" s="1"/>
  <c r="N23" i="6"/>
  <c r="O23" i="6" s="1"/>
  <c r="N24" i="6"/>
  <c r="O24" i="6" s="1"/>
  <c r="N25" i="6"/>
  <c r="O25" i="6" s="1"/>
  <c r="N26" i="6"/>
  <c r="O26" i="6" s="1"/>
  <c r="N27" i="6"/>
  <c r="O27" i="6" s="1"/>
  <c r="N28" i="6"/>
  <c r="O28" i="6" s="1"/>
  <c r="N29" i="6"/>
  <c r="O29" i="6" s="1"/>
  <c r="N30" i="6"/>
  <c r="O30" i="6" s="1"/>
  <c r="N31" i="6"/>
  <c r="O31" i="6" s="1"/>
  <c r="N32" i="6"/>
  <c r="O32" i="6" s="1"/>
  <c r="N33" i="6"/>
  <c r="O33" i="6" s="1"/>
  <c r="N34" i="6"/>
  <c r="O34" i="6" s="1"/>
  <c r="N35" i="6"/>
  <c r="O35" i="6" s="1"/>
  <c r="N36" i="6"/>
  <c r="O36" i="6" s="1"/>
  <c r="N37" i="6"/>
  <c r="O37" i="6" s="1"/>
  <c r="N38" i="6"/>
  <c r="O38" i="6" s="1"/>
  <c r="N39" i="6"/>
  <c r="O39" i="6" s="1"/>
  <c r="N40" i="6"/>
  <c r="O40" i="6" s="1"/>
  <c r="N41" i="6"/>
  <c r="O41" i="6" s="1"/>
  <c r="N42" i="6"/>
  <c r="O42" i="6" s="1"/>
  <c r="N43" i="6"/>
  <c r="O43" i="6" s="1"/>
  <c r="N44" i="6"/>
  <c r="O44" i="6" s="1"/>
  <c r="N45" i="6"/>
  <c r="O45" i="6" s="1"/>
  <c r="N46" i="6"/>
  <c r="O46" i="6" s="1"/>
  <c r="N47" i="6"/>
  <c r="O47" i="6" s="1"/>
  <c r="N48" i="6"/>
  <c r="O48" i="6" s="1"/>
  <c r="N49" i="6"/>
  <c r="O49" i="6" s="1"/>
  <c r="N50" i="6"/>
  <c r="O50" i="6" s="1"/>
  <c r="N51" i="6"/>
  <c r="O51" i="6" s="1"/>
  <c r="N52" i="6"/>
  <c r="O52" i="6" s="1"/>
  <c r="N53" i="6"/>
  <c r="O53" i="6" s="1"/>
  <c r="N54" i="6"/>
  <c r="O54" i="6" s="1"/>
  <c r="N55" i="6"/>
  <c r="O55" i="6" s="1"/>
  <c r="N56" i="6"/>
  <c r="O56" i="6" s="1"/>
  <c r="N57" i="6"/>
  <c r="O57" i="6" s="1"/>
  <c r="N58" i="6"/>
  <c r="O58" i="6" s="1"/>
  <c r="N59" i="6"/>
  <c r="O59" i="6" s="1"/>
  <c r="N60" i="6"/>
  <c r="O60" i="6" s="1"/>
  <c r="N61" i="6"/>
  <c r="O61" i="6" s="1"/>
  <c r="N62" i="6"/>
  <c r="O62" i="6" s="1"/>
  <c r="N63" i="6"/>
  <c r="O63" i="6" s="1"/>
  <c r="N64" i="6"/>
  <c r="O64" i="6" s="1"/>
  <c r="N65" i="6"/>
  <c r="O65" i="6" s="1"/>
  <c r="N66" i="6"/>
  <c r="O66" i="6" s="1"/>
  <c r="N67" i="6"/>
  <c r="O67" i="6" s="1"/>
  <c r="N68" i="6"/>
  <c r="O68" i="6" s="1"/>
  <c r="N69" i="6"/>
  <c r="O69" i="6" s="1"/>
  <c r="N70" i="6"/>
  <c r="O70" i="6" s="1"/>
  <c r="N71" i="6"/>
  <c r="O71" i="6" s="1"/>
  <c r="N72" i="6"/>
  <c r="O72" i="6" s="1"/>
  <c r="N73" i="6"/>
  <c r="O73" i="6" s="1"/>
  <c r="N74" i="6"/>
  <c r="O74" i="6" s="1"/>
  <c r="N75" i="6"/>
  <c r="O75" i="6" s="1"/>
  <c r="N76" i="6"/>
  <c r="O76" i="6" s="1"/>
  <c r="N77" i="6"/>
  <c r="O77" i="6" s="1"/>
  <c r="N78" i="6"/>
  <c r="O78" i="6" s="1"/>
  <c r="N79" i="6"/>
  <c r="O79" i="6" s="1"/>
  <c r="N80" i="6"/>
  <c r="O80" i="6" s="1"/>
  <c r="N81" i="6"/>
  <c r="O81" i="6" s="1"/>
  <c r="N82" i="6"/>
  <c r="O82" i="6" s="1"/>
  <c r="N83" i="6"/>
  <c r="O83" i="6" s="1"/>
  <c r="N84" i="6"/>
  <c r="O84" i="6" s="1"/>
  <c r="N85" i="6"/>
  <c r="O85" i="6" s="1"/>
  <c r="N86" i="6"/>
  <c r="O86" i="6" s="1"/>
  <c r="N87" i="6"/>
  <c r="O87" i="6" s="1"/>
  <c r="N88" i="6"/>
  <c r="O88" i="6" s="1"/>
  <c r="N89" i="6"/>
  <c r="O89" i="6" s="1"/>
  <c r="N90" i="6"/>
  <c r="O90" i="6" s="1"/>
  <c r="N91" i="6"/>
  <c r="O91" i="6" s="1"/>
  <c r="N92" i="6"/>
  <c r="O92" i="6" s="1"/>
  <c r="N93" i="6"/>
  <c r="O93" i="6" s="1"/>
  <c r="N94" i="6"/>
  <c r="O94" i="6" s="1"/>
  <c r="N95" i="6"/>
  <c r="O95" i="6" s="1"/>
  <c r="N96" i="6"/>
  <c r="O96" i="6" s="1"/>
  <c r="N97" i="6"/>
  <c r="O97" i="6" s="1"/>
  <c r="N98" i="6"/>
  <c r="O98" i="6" s="1"/>
  <c r="N99" i="6"/>
  <c r="O99" i="6" s="1"/>
  <c r="N100" i="6"/>
  <c r="O100" i="6" s="1"/>
  <c r="N101" i="6"/>
  <c r="O101" i="6" s="1"/>
  <c r="N102" i="6"/>
  <c r="O102" i="6" s="1"/>
  <c r="N103" i="6"/>
  <c r="O103" i="6" s="1"/>
  <c r="N104" i="6"/>
  <c r="O104" i="6" s="1"/>
  <c r="N105" i="6"/>
  <c r="O105" i="6" s="1"/>
  <c r="N106" i="6"/>
  <c r="O106" i="6" s="1"/>
  <c r="N107" i="6"/>
  <c r="O107" i="6" s="1"/>
  <c r="N108" i="6"/>
  <c r="O108" i="6" s="1"/>
  <c r="N109" i="6"/>
  <c r="O109" i="6" s="1"/>
  <c r="N110" i="6"/>
  <c r="O110" i="6" s="1"/>
  <c r="N111" i="6"/>
  <c r="O111" i="6" s="1"/>
  <c r="N112" i="6"/>
  <c r="O112" i="6" s="1"/>
  <c r="N113" i="6"/>
  <c r="O113" i="6" s="1"/>
  <c r="N114" i="6"/>
  <c r="O114" i="6" s="1"/>
  <c r="N115" i="6"/>
  <c r="O115" i="6" s="1"/>
  <c r="N116" i="6"/>
  <c r="O116" i="6" s="1"/>
  <c r="N117" i="6"/>
  <c r="O117" i="6" s="1"/>
  <c r="N118" i="6"/>
  <c r="O118" i="6" s="1"/>
  <c r="N119" i="6"/>
  <c r="O119" i="6" s="1"/>
  <c r="N120" i="6"/>
  <c r="O120" i="6" s="1"/>
  <c r="N121" i="6"/>
  <c r="O121" i="6" s="1"/>
  <c r="N122" i="6"/>
  <c r="O122" i="6" s="1"/>
  <c r="N123" i="6"/>
  <c r="O123" i="6" s="1"/>
  <c r="N124" i="6"/>
  <c r="O124" i="6" s="1"/>
  <c r="N125" i="6"/>
  <c r="O125" i="6" s="1"/>
  <c r="N126" i="6"/>
  <c r="O126" i="6" s="1"/>
  <c r="N6" i="6"/>
  <c r="O6" i="6" s="1"/>
  <c r="D3" i="6"/>
  <c r="E3" i="6" s="1"/>
  <c r="D4" i="6"/>
  <c r="E4" i="6" s="1"/>
  <c r="D5" i="6"/>
  <c r="E5" i="6" s="1"/>
  <c r="D6" i="6"/>
  <c r="E6" i="6" s="1"/>
  <c r="D7" i="6"/>
  <c r="E7" i="6" s="1"/>
  <c r="D8" i="6"/>
  <c r="E8" i="6" s="1"/>
  <c r="D9" i="6"/>
  <c r="E9" i="6" s="1"/>
  <c r="D10" i="6"/>
  <c r="E10" i="6" s="1"/>
  <c r="D11" i="6"/>
  <c r="E11" i="6" s="1"/>
  <c r="D12" i="6"/>
  <c r="E12" i="6" s="1"/>
  <c r="D13" i="6"/>
  <c r="E13" i="6" s="1"/>
  <c r="D14" i="6"/>
  <c r="E14" i="6" s="1"/>
  <c r="D15" i="6"/>
  <c r="E15" i="6" s="1"/>
  <c r="D16" i="6"/>
  <c r="E16" i="6" s="1"/>
  <c r="D17" i="6"/>
  <c r="E17" i="6" s="1"/>
  <c r="D18" i="6"/>
  <c r="E18" i="6" s="1"/>
  <c r="D19" i="6"/>
  <c r="E19" i="6" s="1"/>
  <c r="D20" i="6"/>
  <c r="E20" i="6" s="1"/>
  <c r="D21" i="6"/>
  <c r="E21" i="6" s="1"/>
  <c r="D22" i="6"/>
  <c r="E22" i="6" s="1"/>
  <c r="D23" i="6"/>
  <c r="E23" i="6" s="1"/>
  <c r="D24" i="6"/>
  <c r="E24" i="6" s="1"/>
  <c r="D25" i="6"/>
  <c r="E25" i="6" s="1"/>
  <c r="D26" i="6"/>
  <c r="E26" i="6" s="1"/>
  <c r="D27" i="6"/>
  <c r="E27" i="6" s="1"/>
  <c r="D28" i="6"/>
  <c r="E28" i="6" s="1"/>
  <c r="D29" i="6"/>
  <c r="E29" i="6" s="1"/>
  <c r="D30" i="6"/>
  <c r="E30" i="6" s="1"/>
  <c r="D31" i="6"/>
  <c r="E31" i="6" s="1"/>
  <c r="D32" i="6"/>
  <c r="E32" i="6" s="1"/>
  <c r="D33" i="6"/>
  <c r="E33" i="6" s="1"/>
  <c r="D34" i="6"/>
  <c r="E34" i="6" s="1"/>
  <c r="D35" i="6"/>
  <c r="E35" i="6" s="1"/>
  <c r="D36" i="6"/>
  <c r="E36" i="6" s="1"/>
  <c r="D37" i="6"/>
  <c r="E37" i="6" s="1"/>
  <c r="D38" i="6"/>
  <c r="E38" i="6" s="1"/>
  <c r="D39" i="6"/>
  <c r="E39" i="6" s="1"/>
  <c r="D40" i="6"/>
  <c r="E40" i="6" s="1"/>
  <c r="D41" i="6"/>
  <c r="E41" i="6" s="1"/>
  <c r="D42" i="6"/>
  <c r="E42" i="6" s="1"/>
  <c r="D43" i="6"/>
  <c r="E43" i="6" s="1"/>
  <c r="D44" i="6"/>
  <c r="E44" i="6" s="1"/>
  <c r="D45" i="6"/>
  <c r="E45" i="6" s="1"/>
  <c r="D46" i="6"/>
  <c r="E46" i="6" s="1"/>
  <c r="D47" i="6"/>
  <c r="E47" i="6" s="1"/>
  <c r="D48" i="6"/>
  <c r="E48" i="6" s="1"/>
  <c r="D49" i="6"/>
  <c r="E49" i="6" s="1"/>
  <c r="D50" i="6"/>
  <c r="E50" i="6" s="1"/>
  <c r="D51" i="6"/>
  <c r="E51" i="6" s="1"/>
  <c r="D52" i="6"/>
  <c r="E52" i="6" s="1"/>
  <c r="D53" i="6"/>
  <c r="E53" i="6" s="1"/>
  <c r="D54" i="6"/>
  <c r="E54" i="6" s="1"/>
  <c r="D55" i="6"/>
  <c r="E55" i="6" s="1"/>
  <c r="D56" i="6"/>
  <c r="E56" i="6" s="1"/>
  <c r="D57" i="6"/>
  <c r="E57" i="6" s="1"/>
  <c r="D58" i="6"/>
  <c r="E58" i="6" s="1"/>
  <c r="D59" i="6"/>
  <c r="E59" i="6" s="1"/>
  <c r="D60" i="6"/>
  <c r="E60" i="6" s="1"/>
  <c r="D61" i="6"/>
  <c r="E61" i="6" s="1"/>
  <c r="D62" i="6"/>
  <c r="E62" i="6" s="1"/>
  <c r="D63" i="6"/>
  <c r="E63" i="6" s="1"/>
  <c r="D64" i="6"/>
  <c r="E64" i="6" s="1"/>
  <c r="D65" i="6"/>
  <c r="E65" i="6" s="1"/>
  <c r="D66" i="6"/>
  <c r="E66" i="6" s="1"/>
  <c r="D67" i="6"/>
  <c r="E67" i="6" s="1"/>
  <c r="D68" i="6"/>
  <c r="E68" i="6" s="1"/>
  <c r="D69" i="6"/>
  <c r="E69" i="6" s="1"/>
  <c r="D70" i="6"/>
  <c r="E70" i="6" s="1"/>
  <c r="D71" i="6"/>
  <c r="E71" i="6" s="1"/>
  <c r="D72" i="6"/>
  <c r="E72" i="6" s="1"/>
  <c r="D73" i="6"/>
  <c r="E73" i="6" s="1"/>
  <c r="D74" i="6"/>
  <c r="E74" i="6" s="1"/>
  <c r="D75" i="6"/>
  <c r="E75" i="6" s="1"/>
  <c r="D76" i="6"/>
  <c r="E76" i="6" s="1"/>
  <c r="D77" i="6"/>
  <c r="E77" i="6" s="1"/>
  <c r="D78" i="6"/>
  <c r="E78" i="6" s="1"/>
  <c r="D79" i="6"/>
  <c r="E79" i="6" s="1"/>
  <c r="D80" i="6"/>
  <c r="E80" i="6" s="1"/>
  <c r="D81" i="6"/>
  <c r="E81" i="6" s="1"/>
  <c r="D82" i="6"/>
  <c r="E82" i="6" s="1"/>
  <c r="D83" i="6"/>
  <c r="E83" i="6" s="1"/>
  <c r="D84" i="6"/>
  <c r="E84" i="6" s="1"/>
  <c r="D85" i="6"/>
  <c r="E85" i="6" s="1"/>
  <c r="D86" i="6"/>
  <c r="E86" i="6" s="1"/>
  <c r="D87" i="6"/>
  <c r="E87" i="6" s="1"/>
  <c r="D88" i="6"/>
  <c r="E88" i="6" s="1"/>
  <c r="D89" i="6"/>
  <c r="E89" i="6" s="1"/>
  <c r="D90" i="6"/>
  <c r="E90" i="6" s="1"/>
  <c r="D91" i="6"/>
  <c r="E91" i="6" s="1"/>
  <c r="D92" i="6"/>
  <c r="E92" i="6" s="1"/>
  <c r="D93" i="6"/>
  <c r="E93" i="6" s="1"/>
  <c r="D94" i="6"/>
  <c r="E94" i="6" s="1"/>
  <c r="D95" i="6"/>
  <c r="E95" i="6" s="1"/>
  <c r="D96" i="6"/>
  <c r="E96" i="6" s="1"/>
  <c r="D97" i="6"/>
  <c r="E97" i="6" s="1"/>
  <c r="D98" i="6"/>
  <c r="E98" i="6" s="1"/>
  <c r="D99" i="6"/>
  <c r="E99" i="6" s="1"/>
  <c r="D100" i="6"/>
  <c r="E100" i="6" s="1"/>
  <c r="D101" i="6"/>
  <c r="E101" i="6" s="1"/>
  <c r="D102" i="6"/>
  <c r="E102" i="6" s="1"/>
  <c r="D103" i="6"/>
  <c r="E103" i="6" s="1"/>
  <c r="D104" i="6"/>
  <c r="E104" i="6" s="1"/>
  <c r="D105" i="6"/>
  <c r="E105" i="6" s="1"/>
  <c r="D106" i="6"/>
  <c r="E106" i="6" s="1"/>
  <c r="D107" i="6"/>
  <c r="E107" i="6" s="1"/>
  <c r="D108" i="6"/>
  <c r="E108" i="6" s="1"/>
  <c r="D109" i="6"/>
  <c r="E109" i="6" s="1"/>
  <c r="D110" i="6"/>
  <c r="E110" i="6" s="1"/>
  <c r="D111" i="6"/>
  <c r="E111" i="6" s="1"/>
  <c r="D112" i="6"/>
  <c r="E112" i="6" s="1"/>
  <c r="D113" i="6"/>
  <c r="E113" i="6" s="1"/>
  <c r="D114" i="6"/>
  <c r="E114" i="6" s="1"/>
  <c r="D115" i="6"/>
  <c r="E115" i="6" s="1"/>
  <c r="D116" i="6"/>
  <c r="E116" i="6" s="1"/>
  <c r="D117" i="6"/>
  <c r="E117" i="6" s="1"/>
  <c r="D118" i="6"/>
  <c r="E118" i="6" s="1"/>
  <c r="D119" i="6"/>
  <c r="E119" i="6" s="1"/>
  <c r="D120" i="6"/>
  <c r="E120" i="6" s="1"/>
  <c r="D121" i="6"/>
  <c r="E121" i="6" s="1"/>
  <c r="D122" i="6"/>
  <c r="E122" i="6" s="1"/>
  <c r="D123" i="6"/>
  <c r="E123" i="6" s="1"/>
  <c r="D124" i="6"/>
  <c r="E124" i="6" s="1"/>
  <c r="D125" i="6"/>
  <c r="E125" i="6" s="1"/>
  <c r="D126" i="6"/>
  <c r="E126" i="6" s="1"/>
  <c r="D2" i="6"/>
  <c r="E2" i="6" s="1"/>
  <c r="B10" i="4"/>
  <c r="C10" i="4" s="1"/>
  <c r="B11" i="4"/>
  <c r="C11" i="4" s="1"/>
  <c r="B12" i="4"/>
  <c r="C12" i="4" s="1"/>
  <c r="B13" i="4"/>
  <c r="C13" i="4" s="1"/>
  <c r="B14" i="4"/>
  <c r="C14" i="4" s="1"/>
  <c r="B15" i="4"/>
  <c r="C15" i="4" s="1"/>
  <c r="B9" i="4"/>
  <c r="C9" i="4" s="1"/>
  <c r="J37" i="4" l="1"/>
  <c r="F38" i="4"/>
  <c r="G37" i="4"/>
  <c r="G28" i="4"/>
  <c r="G31" i="4" s="1"/>
  <c r="L28" i="4"/>
  <c r="L33" i="4" s="1"/>
  <c r="K37" i="4"/>
  <c r="K36" i="4"/>
  <c r="K38" i="4"/>
  <c r="H36" i="4"/>
  <c r="I38" i="4"/>
  <c r="J36" i="4"/>
  <c r="J28" i="4"/>
  <c r="L37" i="4"/>
  <c r="J38" i="4"/>
  <c r="G36" i="4"/>
  <c r="L36" i="4"/>
  <c r="G38" i="4"/>
  <c r="L38" i="4"/>
  <c r="F37" i="4"/>
  <c r="H38" i="4"/>
  <c r="I37" i="4"/>
  <c r="K28" i="4"/>
  <c r="F28" i="4"/>
  <c r="H37" i="4"/>
  <c r="I28" i="4"/>
  <c r="F36" i="4"/>
  <c r="H28" i="4"/>
  <c r="I36" i="4"/>
  <c r="BF4" i="3"/>
  <c r="BG4" i="3" s="1"/>
  <c r="BF5" i="3"/>
  <c r="BG5" i="3" s="1"/>
  <c r="BF6" i="3"/>
  <c r="BG6" i="3" s="1"/>
  <c r="BF7" i="3"/>
  <c r="BG7" i="3" s="1"/>
  <c r="BF8" i="3"/>
  <c r="BG8" i="3" s="1"/>
  <c r="BF9" i="3"/>
  <c r="BG9" i="3" s="1"/>
  <c r="BF10" i="3"/>
  <c r="BG10" i="3" s="1"/>
  <c r="BF11" i="3"/>
  <c r="BG11" i="3" s="1"/>
  <c r="BF12" i="3"/>
  <c r="BG12" i="3" s="1"/>
  <c r="BF13" i="3"/>
  <c r="BG13" i="3" s="1"/>
  <c r="BF14" i="3"/>
  <c r="BG14" i="3" s="1"/>
  <c r="BF15" i="3"/>
  <c r="BG15" i="3" s="1"/>
  <c r="BF16" i="3"/>
  <c r="BG16" i="3" s="1"/>
  <c r="BF17" i="3"/>
  <c r="BG17" i="3" s="1"/>
  <c r="BF18" i="3"/>
  <c r="BG18" i="3" s="1"/>
  <c r="BF19" i="3"/>
  <c r="BG19" i="3" s="1"/>
  <c r="BF20" i="3"/>
  <c r="BG20" i="3" s="1"/>
  <c r="BF21" i="3"/>
  <c r="BG21" i="3" s="1"/>
  <c r="BF22" i="3"/>
  <c r="BG22" i="3" s="1"/>
  <c r="BF23" i="3"/>
  <c r="BG23" i="3" s="1"/>
  <c r="BF24" i="3"/>
  <c r="BG24" i="3" s="1"/>
  <c r="BF25" i="3"/>
  <c r="BG25" i="3" s="1"/>
  <c r="BF26" i="3"/>
  <c r="BG26" i="3" s="1"/>
  <c r="BF27" i="3"/>
  <c r="BG27" i="3" s="1"/>
  <c r="BF28" i="3"/>
  <c r="BG28" i="3" s="1"/>
  <c r="BF29" i="3"/>
  <c r="BG29" i="3" s="1"/>
  <c r="BF30" i="3"/>
  <c r="BG30" i="3" s="1"/>
  <c r="BF31" i="3"/>
  <c r="BG31" i="3" s="1"/>
  <c r="BF32" i="3"/>
  <c r="BG32" i="3" s="1"/>
  <c r="BF33" i="3"/>
  <c r="BG33" i="3" s="1"/>
  <c r="BF34" i="3"/>
  <c r="BG34" i="3" s="1"/>
  <c r="BF35" i="3"/>
  <c r="BG35" i="3" s="1"/>
  <c r="BF36" i="3"/>
  <c r="BG36" i="3" s="1"/>
  <c r="BF37" i="3"/>
  <c r="BG37" i="3" s="1"/>
  <c r="BF38" i="3"/>
  <c r="BG38" i="3" s="1"/>
  <c r="BF39" i="3"/>
  <c r="BG39" i="3" s="1"/>
  <c r="BF40" i="3"/>
  <c r="BG40" i="3" s="1"/>
  <c r="BF41" i="3"/>
  <c r="BG41" i="3" s="1"/>
  <c r="BF42" i="3"/>
  <c r="BG42" i="3" s="1"/>
  <c r="BF43" i="3"/>
  <c r="BG43" i="3" s="1"/>
  <c r="BF44" i="3"/>
  <c r="BG44" i="3" s="1"/>
  <c r="BF45" i="3"/>
  <c r="BG45" i="3" s="1"/>
  <c r="BF46" i="3"/>
  <c r="BG46" i="3" s="1"/>
  <c r="BF47" i="3"/>
  <c r="BG47" i="3" s="1"/>
  <c r="BF48" i="3"/>
  <c r="BG48" i="3" s="1"/>
  <c r="BF49" i="3"/>
  <c r="BG49" i="3" s="1"/>
  <c r="BF50" i="3"/>
  <c r="BG50" i="3" s="1"/>
  <c r="BF51" i="3"/>
  <c r="BG51" i="3" s="1"/>
  <c r="BF52" i="3"/>
  <c r="BG52" i="3" s="1"/>
  <c r="BF53" i="3"/>
  <c r="BG53" i="3" s="1"/>
  <c r="BF54" i="3"/>
  <c r="BG54" i="3" s="1"/>
  <c r="BF55" i="3"/>
  <c r="BG55" i="3" s="1"/>
  <c r="BF56" i="3"/>
  <c r="BG56" i="3" s="1"/>
  <c r="BF57" i="3"/>
  <c r="BG57" i="3" s="1"/>
  <c r="BF58" i="3"/>
  <c r="BG58" i="3" s="1"/>
  <c r="BF59" i="3"/>
  <c r="BG59" i="3" s="1"/>
  <c r="BF60" i="3"/>
  <c r="BG60" i="3" s="1"/>
  <c r="BF61" i="3"/>
  <c r="BG61" i="3" s="1"/>
  <c r="BF62" i="3"/>
  <c r="BG62" i="3" s="1"/>
  <c r="BF63" i="3"/>
  <c r="BG63" i="3" s="1"/>
  <c r="BF64" i="3"/>
  <c r="BG64" i="3" s="1"/>
  <c r="BF65" i="3"/>
  <c r="BG65" i="3" s="1"/>
  <c r="BF66" i="3"/>
  <c r="BG66" i="3" s="1"/>
  <c r="BF67" i="3"/>
  <c r="BG67" i="3" s="1"/>
  <c r="BF68" i="3"/>
  <c r="BG68" i="3" s="1"/>
  <c r="BF69" i="3"/>
  <c r="BG69" i="3" s="1"/>
  <c r="BF70" i="3"/>
  <c r="BG70" i="3" s="1"/>
  <c r="BF71" i="3"/>
  <c r="BG71" i="3" s="1"/>
  <c r="BF72" i="3"/>
  <c r="BG72" i="3" s="1"/>
  <c r="BF73" i="3"/>
  <c r="BG73" i="3" s="1"/>
  <c r="BF74" i="3"/>
  <c r="BG74" i="3" s="1"/>
  <c r="BF75" i="3"/>
  <c r="BG75" i="3" s="1"/>
  <c r="BF76" i="3"/>
  <c r="BG76" i="3" s="1"/>
  <c r="BF77" i="3"/>
  <c r="BG77" i="3" s="1"/>
  <c r="BF78" i="3"/>
  <c r="BG78" i="3" s="1"/>
  <c r="BF79" i="3"/>
  <c r="BG79" i="3" s="1"/>
  <c r="BF80" i="3"/>
  <c r="BG80" i="3" s="1"/>
  <c r="BF81" i="3"/>
  <c r="BG81" i="3" s="1"/>
  <c r="BF82" i="3"/>
  <c r="BG82" i="3" s="1"/>
  <c r="BF83" i="3"/>
  <c r="BG83" i="3" s="1"/>
  <c r="BF84" i="3"/>
  <c r="BG84" i="3" s="1"/>
  <c r="BF85" i="3"/>
  <c r="BG85" i="3" s="1"/>
  <c r="BF86" i="3"/>
  <c r="BG86" i="3" s="1"/>
  <c r="BF87" i="3"/>
  <c r="BG87" i="3" s="1"/>
  <c r="BF88" i="3"/>
  <c r="BG88" i="3" s="1"/>
  <c r="BF89" i="3"/>
  <c r="BG89" i="3" s="1"/>
  <c r="BF90" i="3"/>
  <c r="BG90" i="3" s="1"/>
  <c r="BF91" i="3"/>
  <c r="BG91" i="3" s="1"/>
  <c r="BF92" i="3"/>
  <c r="BG92" i="3" s="1"/>
  <c r="BF93" i="3"/>
  <c r="BG93" i="3" s="1"/>
  <c r="BF94" i="3"/>
  <c r="BG94" i="3" s="1"/>
  <c r="BF95" i="3"/>
  <c r="BG95" i="3" s="1"/>
  <c r="BF96" i="3"/>
  <c r="BG96" i="3" s="1"/>
  <c r="BF97" i="3"/>
  <c r="BG97" i="3" s="1"/>
  <c r="BF98" i="3"/>
  <c r="BG98" i="3" s="1"/>
  <c r="BF99" i="3"/>
  <c r="BG99" i="3" s="1"/>
  <c r="BF100" i="3"/>
  <c r="BG100" i="3" s="1"/>
  <c r="BF101" i="3"/>
  <c r="BG101" i="3" s="1"/>
  <c r="BF102" i="3"/>
  <c r="BG102" i="3" s="1"/>
  <c r="BF103" i="3"/>
  <c r="BG103" i="3" s="1"/>
  <c r="BF104" i="3"/>
  <c r="BG104" i="3" s="1"/>
  <c r="BF105" i="3"/>
  <c r="BG105" i="3" s="1"/>
  <c r="BF106" i="3"/>
  <c r="BG106" i="3" s="1"/>
  <c r="BF107" i="3"/>
  <c r="BG107" i="3" s="1"/>
  <c r="BF108" i="3"/>
  <c r="BG108" i="3" s="1"/>
  <c r="BF109" i="3"/>
  <c r="BG109" i="3" s="1"/>
  <c r="BF110" i="3"/>
  <c r="BG110" i="3" s="1"/>
  <c r="BF111" i="3"/>
  <c r="BG111" i="3" s="1"/>
  <c r="BF112" i="3"/>
  <c r="BG112" i="3" s="1"/>
  <c r="BF113" i="3"/>
  <c r="BG113" i="3" s="1"/>
  <c r="BF114" i="3"/>
  <c r="BG114" i="3" s="1"/>
  <c r="BF115" i="3"/>
  <c r="BG115" i="3" s="1"/>
  <c r="BF116" i="3"/>
  <c r="BG116" i="3" s="1"/>
  <c r="BF117" i="3"/>
  <c r="BG117" i="3" s="1"/>
  <c r="BF118" i="3"/>
  <c r="BG118" i="3" s="1"/>
  <c r="BF119" i="3"/>
  <c r="BG119" i="3" s="1"/>
  <c r="BF120" i="3"/>
  <c r="BG120" i="3" s="1"/>
  <c r="BF121" i="3"/>
  <c r="BG121" i="3" s="1"/>
  <c r="BF122" i="3"/>
  <c r="BG122" i="3" s="1"/>
  <c r="BF123" i="3"/>
  <c r="BG123" i="3" s="1"/>
  <c r="BF124" i="3"/>
  <c r="BG124" i="3" s="1"/>
  <c r="BF125" i="3"/>
  <c r="BG125" i="3" s="1"/>
  <c r="BF3" i="3"/>
  <c r="BG3" i="3" s="1"/>
  <c r="AY4" i="3"/>
  <c r="AZ4" i="3" s="1"/>
  <c r="AY5" i="3"/>
  <c r="AZ5" i="3" s="1"/>
  <c r="AY6" i="3"/>
  <c r="AZ6" i="3" s="1"/>
  <c r="AY7" i="3"/>
  <c r="AZ7" i="3" s="1"/>
  <c r="AY8" i="3"/>
  <c r="AZ8" i="3" s="1"/>
  <c r="AY9" i="3"/>
  <c r="AZ9" i="3" s="1"/>
  <c r="AY10" i="3"/>
  <c r="AZ10" i="3" s="1"/>
  <c r="AY11" i="3"/>
  <c r="AZ11" i="3" s="1"/>
  <c r="AY12" i="3"/>
  <c r="AZ12" i="3" s="1"/>
  <c r="AY13" i="3"/>
  <c r="AZ13" i="3" s="1"/>
  <c r="AY14" i="3"/>
  <c r="AZ14" i="3" s="1"/>
  <c r="AY15" i="3"/>
  <c r="AZ15" i="3" s="1"/>
  <c r="AY16" i="3"/>
  <c r="AZ16" i="3" s="1"/>
  <c r="AY17" i="3"/>
  <c r="AZ17" i="3" s="1"/>
  <c r="AY18" i="3"/>
  <c r="AZ18" i="3" s="1"/>
  <c r="AY19" i="3"/>
  <c r="AZ19" i="3" s="1"/>
  <c r="AY20" i="3"/>
  <c r="AZ20" i="3" s="1"/>
  <c r="AY21" i="3"/>
  <c r="AZ21" i="3" s="1"/>
  <c r="AY22" i="3"/>
  <c r="AZ22" i="3" s="1"/>
  <c r="AY23" i="3"/>
  <c r="AZ23" i="3" s="1"/>
  <c r="AY24" i="3"/>
  <c r="AZ24" i="3" s="1"/>
  <c r="AY25" i="3"/>
  <c r="AZ25" i="3" s="1"/>
  <c r="AY26" i="3"/>
  <c r="AZ26" i="3" s="1"/>
  <c r="AY27" i="3"/>
  <c r="AZ27" i="3" s="1"/>
  <c r="AY28" i="3"/>
  <c r="AZ28" i="3" s="1"/>
  <c r="AY29" i="3"/>
  <c r="AZ29" i="3" s="1"/>
  <c r="AY30" i="3"/>
  <c r="AZ30" i="3" s="1"/>
  <c r="AY31" i="3"/>
  <c r="AZ31" i="3" s="1"/>
  <c r="AY32" i="3"/>
  <c r="AZ32" i="3" s="1"/>
  <c r="AY33" i="3"/>
  <c r="AZ33" i="3" s="1"/>
  <c r="AY34" i="3"/>
  <c r="AZ34" i="3" s="1"/>
  <c r="AY35" i="3"/>
  <c r="AZ35" i="3" s="1"/>
  <c r="AY36" i="3"/>
  <c r="AZ36" i="3" s="1"/>
  <c r="AY37" i="3"/>
  <c r="AZ37" i="3" s="1"/>
  <c r="AY38" i="3"/>
  <c r="AZ38" i="3" s="1"/>
  <c r="AY39" i="3"/>
  <c r="AZ39" i="3" s="1"/>
  <c r="AY40" i="3"/>
  <c r="AZ40" i="3" s="1"/>
  <c r="AY41" i="3"/>
  <c r="AZ41" i="3" s="1"/>
  <c r="AY42" i="3"/>
  <c r="AZ42" i="3" s="1"/>
  <c r="AY43" i="3"/>
  <c r="AZ43" i="3" s="1"/>
  <c r="AY44" i="3"/>
  <c r="AZ44" i="3" s="1"/>
  <c r="AY45" i="3"/>
  <c r="AZ45" i="3" s="1"/>
  <c r="AY46" i="3"/>
  <c r="AZ46" i="3" s="1"/>
  <c r="AY47" i="3"/>
  <c r="AZ47" i="3" s="1"/>
  <c r="AY48" i="3"/>
  <c r="AZ48" i="3" s="1"/>
  <c r="AY49" i="3"/>
  <c r="AZ49" i="3" s="1"/>
  <c r="AY50" i="3"/>
  <c r="AZ50" i="3" s="1"/>
  <c r="AY51" i="3"/>
  <c r="AZ51" i="3" s="1"/>
  <c r="AY52" i="3"/>
  <c r="AZ52" i="3" s="1"/>
  <c r="AY53" i="3"/>
  <c r="AZ53" i="3" s="1"/>
  <c r="AY54" i="3"/>
  <c r="AZ54" i="3" s="1"/>
  <c r="AY55" i="3"/>
  <c r="AZ55" i="3" s="1"/>
  <c r="AY56" i="3"/>
  <c r="AZ56" i="3" s="1"/>
  <c r="AY57" i="3"/>
  <c r="AZ57" i="3" s="1"/>
  <c r="AY58" i="3"/>
  <c r="AZ58" i="3" s="1"/>
  <c r="AY59" i="3"/>
  <c r="AZ59" i="3" s="1"/>
  <c r="AY60" i="3"/>
  <c r="AZ60" i="3" s="1"/>
  <c r="AY61" i="3"/>
  <c r="AZ61" i="3" s="1"/>
  <c r="AY62" i="3"/>
  <c r="AZ62" i="3" s="1"/>
  <c r="AY63" i="3"/>
  <c r="AZ63" i="3" s="1"/>
  <c r="AY64" i="3"/>
  <c r="AZ64" i="3" s="1"/>
  <c r="AY65" i="3"/>
  <c r="AZ65" i="3" s="1"/>
  <c r="AY66" i="3"/>
  <c r="AZ66" i="3" s="1"/>
  <c r="AY67" i="3"/>
  <c r="AZ67" i="3" s="1"/>
  <c r="AY68" i="3"/>
  <c r="AZ68" i="3" s="1"/>
  <c r="AY69" i="3"/>
  <c r="AZ69" i="3" s="1"/>
  <c r="AY70" i="3"/>
  <c r="AZ70" i="3" s="1"/>
  <c r="AY71" i="3"/>
  <c r="AZ71" i="3" s="1"/>
  <c r="AY72" i="3"/>
  <c r="AZ72" i="3" s="1"/>
  <c r="AY73" i="3"/>
  <c r="AZ73" i="3" s="1"/>
  <c r="AY74" i="3"/>
  <c r="AZ74" i="3" s="1"/>
  <c r="AY75" i="3"/>
  <c r="AZ75" i="3" s="1"/>
  <c r="AY76" i="3"/>
  <c r="AZ76" i="3" s="1"/>
  <c r="AY77" i="3"/>
  <c r="AZ77" i="3" s="1"/>
  <c r="AY78" i="3"/>
  <c r="AZ78" i="3" s="1"/>
  <c r="AY79" i="3"/>
  <c r="AZ79" i="3" s="1"/>
  <c r="AY80" i="3"/>
  <c r="AZ80" i="3" s="1"/>
  <c r="AY81" i="3"/>
  <c r="AZ81" i="3" s="1"/>
  <c r="AY82" i="3"/>
  <c r="AZ82" i="3" s="1"/>
  <c r="AY83" i="3"/>
  <c r="AZ83" i="3" s="1"/>
  <c r="AY84" i="3"/>
  <c r="AZ84" i="3" s="1"/>
  <c r="AY85" i="3"/>
  <c r="AZ85" i="3" s="1"/>
  <c r="AY86" i="3"/>
  <c r="AZ86" i="3" s="1"/>
  <c r="AY87" i="3"/>
  <c r="AZ87" i="3" s="1"/>
  <c r="AY88" i="3"/>
  <c r="AZ88" i="3" s="1"/>
  <c r="AY89" i="3"/>
  <c r="AZ89" i="3" s="1"/>
  <c r="AY90" i="3"/>
  <c r="AZ90" i="3" s="1"/>
  <c r="AY91" i="3"/>
  <c r="AZ91" i="3" s="1"/>
  <c r="AY92" i="3"/>
  <c r="AZ92" i="3" s="1"/>
  <c r="AY93" i="3"/>
  <c r="AZ93" i="3" s="1"/>
  <c r="AY94" i="3"/>
  <c r="AZ94" i="3" s="1"/>
  <c r="AY95" i="3"/>
  <c r="AZ95" i="3" s="1"/>
  <c r="AY96" i="3"/>
  <c r="AZ96" i="3" s="1"/>
  <c r="AY97" i="3"/>
  <c r="AZ97" i="3" s="1"/>
  <c r="AY98" i="3"/>
  <c r="AZ98" i="3" s="1"/>
  <c r="AY99" i="3"/>
  <c r="AZ99" i="3" s="1"/>
  <c r="AY100" i="3"/>
  <c r="AZ100" i="3" s="1"/>
  <c r="AY101" i="3"/>
  <c r="AZ101" i="3" s="1"/>
  <c r="AY102" i="3"/>
  <c r="AZ102" i="3" s="1"/>
  <c r="AY103" i="3"/>
  <c r="AZ103" i="3" s="1"/>
  <c r="AY104" i="3"/>
  <c r="AZ104" i="3" s="1"/>
  <c r="AY105" i="3"/>
  <c r="AZ105" i="3" s="1"/>
  <c r="AY106" i="3"/>
  <c r="AZ106" i="3" s="1"/>
  <c r="AY107" i="3"/>
  <c r="AZ107" i="3" s="1"/>
  <c r="AY108" i="3"/>
  <c r="AZ108" i="3" s="1"/>
  <c r="AY109" i="3"/>
  <c r="AZ109" i="3" s="1"/>
  <c r="AY110" i="3"/>
  <c r="AZ110" i="3" s="1"/>
  <c r="AY111" i="3"/>
  <c r="AZ111" i="3" s="1"/>
  <c r="AY112" i="3"/>
  <c r="AZ112" i="3" s="1"/>
  <c r="AY113" i="3"/>
  <c r="AZ113" i="3" s="1"/>
  <c r="AY114" i="3"/>
  <c r="AZ114" i="3" s="1"/>
  <c r="AY115" i="3"/>
  <c r="AZ115" i="3" s="1"/>
  <c r="AY116" i="3"/>
  <c r="AZ116" i="3" s="1"/>
  <c r="AY117" i="3"/>
  <c r="AZ117" i="3" s="1"/>
  <c r="AY118" i="3"/>
  <c r="AZ118" i="3" s="1"/>
  <c r="AY119" i="3"/>
  <c r="AZ119" i="3" s="1"/>
  <c r="AY120" i="3"/>
  <c r="AZ120" i="3" s="1"/>
  <c r="AY121" i="3"/>
  <c r="AZ121" i="3" s="1"/>
  <c r="AY122" i="3"/>
  <c r="AZ122" i="3" s="1"/>
  <c r="AY123" i="3"/>
  <c r="AZ123" i="3" s="1"/>
  <c r="AY124" i="3"/>
  <c r="AZ124" i="3" s="1"/>
  <c r="AY125" i="3"/>
  <c r="AZ125" i="3" s="1"/>
  <c r="AQ7" i="3"/>
  <c r="AR7" i="3" s="1"/>
  <c r="AQ8" i="3"/>
  <c r="AR8" i="3" s="1"/>
  <c r="AQ9" i="3"/>
  <c r="AR9" i="3" s="1"/>
  <c r="AQ10" i="3"/>
  <c r="AR10" i="3" s="1"/>
  <c r="AQ11" i="3"/>
  <c r="AR11" i="3" s="1"/>
  <c r="AQ12" i="3"/>
  <c r="AR12" i="3" s="1"/>
  <c r="AQ13" i="3"/>
  <c r="AR13" i="3" s="1"/>
  <c r="AQ14" i="3"/>
  <c r="AR14" i="3" s="1"/>
  <c r="AQ15" i="3"/>
  <c r="AR15" i="3" s="1"/>
  <c r="AQ16" i="3"/>
  <c r="AR16" i="3" s="1"/>
  <c r="AQ17" i="3"/>
  <c r="AR17" i="3" s="1"/>
  <c r="AQ18" i="3"/>
  <c r="AR18" i="3" s="1"/>
  <c r="AQ19" i="3"/>
  <c r="AR19" i="3" s="1"/>
  <c r="AQ20" i="3"/>
  <c r="AR20" i="3" s="1"/>
  <c r="AQ21" i="3"/>
  <c r="AR21" i="3" s="1"/>
  <c r="AQ22" i="3"/>
  <c r="AR22" i="3" s="1"/>
  <c r="AQ23" i="3"/>
  <c r="AR23" i="3" s="1"/>
  <c r="AQ24" i="3"/>
  <c r="AR24" i="3" s="1"/>
  <c r="AQ25" i="3"/>
  <c r="AR25" i="3" s="1"/>
  <c r="AQ26" i="3"/>
  <c r="AR26" i="3" s="1"/>
  <c r="AQ27" i="3"/>
  <c r="AR27" i="3" s="1"/>
  <c r="AQ28" i="3"/>
  <c r="AR28" i="3" s="1"/>
  <c r="AQ29" i="3"/>
  <c r="AR29" i="3" s="1"/>
  <c r="AQ30" i="3"/>
  <c r="AR30" i="3" s="1"/>
  <c r="AQ31" i="3"/>
  <c r="AR31" i="3" s="1"/>
  <c r="AQ32" i="3"/>
  <c r="AR32" i="3" s="1"/>
  <c r="AQ33" i="3"/>
  <c r="AR33" i="3" s="1"/>
  <c r="AQ34" i="3"/>
  <c r="AR34" i="3" s="1"/>
  <c r="AQ35" i="3"/>
  <c r="AR35" i="3" s="1"/>
  <c r="AQ36" i="3"/>
  <c r="AR36" i="3" s="1"/>
  <c r="AQ37" i="3"/>
  <c r="AR37" i="3" s="1"/>
  <c r="AQ38" i="3"/>
  <c r="AR38" i="3" s="1"/>
  <c r="AQ39" i="3"/>
  <c r="AR39" i="3" s="1"/>
  <c r="AQ40" i="3"/>
  <c r="AR40" i="3" s="1"/>
  <c r="AQ41" i="3"/>
  <c r="AR41" i="3" s="1"/>
  <c r="AQ42" i="3"/>
  <c r="AR42" i="3" s="1"/>
  <c r="AQ43" i="3"/>
  <c r="AR43" i="3" s="1"/>
  <c r="AQ44" i="3"/>
  <c r="AR44" i="3" s="1"/>
  <c r="AQ45" i="3"/>
  <c r="AR45" i="3" s="1"/>
  <c r="AQ46" i="3"/>
  <c r="AR46" i="3" s="1"/>
  <c r="AQ47" i="3"/>
  <c r="AR47" i="3" s="1"/>
  <c r="AQ48" i="3"/>
  <c r="AR48" i="3" s="1"/>
  <c r="AQ49" i="3"/>
  <c r="AR49" i="3" s="1"/>
  <c r="AQ50" i="3"/>
  <c r="AR50" i="3" s="1"/>
  <c r="AQ51" i="3"/>
  <c r="AR51" i="3" s="1"/>
  <c r="AQ52" i="3"/>
  <c r="AR52" i="3" s="1"/>
  <c r="AQ53" i="3"/>
  <c r="AR53" i="3" s="1"/>
  <c r="AQ54" i="3"/>
  <c r="AR54" i="3" s="1"/>
  <c r="AQ55" i="3"/>
  <c r="AR55" i="3" s="1"/>
  <c r="AQ56" i="3"/>
  <c r="AR56" i="3" s="1"/>
  <c r="AQ57" i="3"/>
  <c r="AR57" i="3" s="1"/>
  <c r="AQ58" i="3"/>
  <c r="AR58" i="3" s="1"/>
  <c r="AQ59" i="3"/>
  <c r="AR59" i="3" s="1"/>
  <c r="AQ60" i="3"/>
  <c r="AR60" i="3" s="1"/>
  <c r="AQ61" i="3"/>
  <c r="AR61" i="3" s="1"/>
  <c r="AQ62" i="3"/>
  <c r="AR62" i="3" s="1"/>
  <c r="AQ63" i="3"/>
  <c r="AR63" i="3" s="1"/>
  <c r="AQ64" i="3"/>
  <c r="AR64" i="3" s="1"/>
  <c r="AQ65" i="3"/>
  <c r="AR65" i="3" s="1"/>
  <c r="AQ66" i="3"/>
  <c r="AR66" i="3" s="1"/>
  <c r="AQ67" i="3"/>
  <c r="AR67" i="3" s="1"/>
  <c r="AQ68" i="3"/>
  <c r="AR68" i="3" s="1"/>
  <c r="AQ69" i="3"/>
  <c r="AR69" i="3" s="1"/>
  <c r="AQ70" i="3"/>
  <c r="AR70" i="3" s="1"/>
  <c r="AQ71" i="3"/>
  <c r="AR71" i="3" s="1"/>
  <c r="AQ72" i="3"/>
  <c r="AR72" i="3" s="1"/>
  <c r="AQ73" i="3"/>
  <c r="AR73" i="3" s="1"/>
  <c r="AQ74" i="3"/>
  <c r="AR74" i="3" s="1"/>
  <c r="AQ75" i="3"/>
  <c r="AR75" i="3" s="1"/>
  <c r="AQ76" i="3"/>
  <c r="AR76" i="3" s="1"/>
  <c r="AQ77" i="3"/>
  <c r="AR77" i="3" s="1"/>
  <c r="AQ78" i="3"/>
  <c r="AR78" i="3" s="1"/>
  <c r="AQ79" i="3"/>
  <c r="AR79" i="3" s="1"/>
  <c r="AQ80" i="3"/>
  <c r="AR80" i="3" s="1"/>
  <c r="AQ81" i="3"/>
  <c r="AR81" i="3" s="1"/>
  <c r="AQ82" i="3"/>
  <c r="AR82" i="3" s="1"/>
  <c r="AQ83" i="3"/>
  <c r="AR83" i="3" s="1"/>
  <c r="AQ84" i="3"/>
  <c r="AR84" i="3" s="1"/>
  <c r="AQ85" i="3"/>
  <c r="AR85" i="3" s="1"/>
  <c r="AQ86" i="3"/>
  <c r="AR86" i="3" s="1"/>
  <c r="AQ87" i="3"/>
  <c r="AR87" i="3" s="1"/>
  <c r="AQ88" i="3"/>
  <c r="AR88" i="3" s="1"/>
  <c r="AQ89" i="3"/>
  <c r="AR89" i="3" s="1"/>
  <c r="AQ90" i="3"/>
  <c r="AR90" i="3" s="1"/>
  <c r="AQ91" i="3"/>
  <c r="AR91" i="3" s="1"/>
  <c r="AQ92" i="3"/>
  <c r="AR92" i="3" s="1"/>
  <c r="AQ93" i="3"/>
  <c r="AR93" i="3" s="1"/>
  <c r="AQ94" i="3"/>
  <c r="AR94" i="3" s="1"/>
  <c r="AQ95" i="3"/>
  <c r="AR95" i="3" s="1"/>
  <c r="AQ96" i="3"/>
  <c r="AR96" i="3" s="1"/>
  <c r="AQ97" i="3"/>
  <c r="AR97" i="3" s="1"/>
  <c r="AQ98" i="3"/>
  <c r="AR98" i="3" s="1"/>
  <c r="AQ99" i="3"/>
  <c r="AR99" i="3" s="1"/>
  <c r="AQ100" i="3"/>
  <c r="AR100" i="3" s="1"/>
  <c r="AQ101" i="3"/>
  <c r="AR101" i="3" s="1"/>
  <c r="AQ102" i="3"/>
  <c r="AR102" i="3" s="1"/>
  <c r="AQ103" i="3"/>
  <c r="AR103" i="3" s="1"/>
  <c r="AQ104" i="3"/>
  <c r="AR104" i="3" s="1"/>
  <c r="AQ105" i="3"/>
  <c r="AR105" i="3" s="1"/>
  <c r="AQ106" i="3"/>
  <c r="AR106" i="3" s="1"/>
  <c r="AQ107" i="3"/>
  <c r="AR107" i="3" s="1"/>
  <c r="AQ108" i="3"/>
  <c r="AR108" i="3" s="1"/>
  <c r="AQ109" i="3"/>
  <c r="AR109" i="3" s="1"/>
  <c r="AQ110" i="3"/>
  <c r="AR110" i="3" s="1"/>
  <c r="AQ111" i="3"/>
  <c r="AR111" i="3" s="1"/>
  <c r="AQ112" i="3"/>
  <c r="AR112" i="3" s="1"/>
  <c r="AQ113" i="3"/>
  <c r="AR113" i="3" s="1"/>
  <c r="AQ114" i="3"/>
  <c r="AR114" i="3" s="1"/>
  <c r="AQ115" i="3"/>
  <c r="AR115" i="3" s="1"/>
  <c r="AQ116" i="3"/>
  <c r="AR116" i="3" s="1"/>
  <c r="AQ117" i="3"/>
  <c r="AR117" i="3" s="1"/>
  <c r="AQ118" i="3"/>
  <c r="AR118" i="3" s="1"/>
  <c r="AQ119" i="3"/>
  <c r="AR119" i="3" s="1"/>
  <c r="AQ120" i="3"/>
  <c r="AR120" i="3" s="1"/>
  <c r="AQ121" i="3"/>
  <c r="AR121" i="3" s="1"/>
  <c r="AQ122" i="3"/>
  <c r="AR122" i="3" s="1"/>
  <c r="AQ123" i="3"/>
  <c r="AR123" i="3" s="1"/>
  <c r="AQ124" i="3"/>
  <c r="AR124" i="3" s="1"/>
  <c r="AQ125" i="3"/>
  <c r="AR125" i="3" s="1"/>
  <c r="AQ6" i="3"/>
  <c r="AR6" i="3" s="1"/>
  <c r="AG3" i="3"/>
  <c r="AH3" i="3" s="1"/>
  <c r="AG4" i="3"/>
  <c r="AH4" i="3" s="1"/>
  <c r="AG5" i="3"/>
  <c r="AH5" i="3" s="1"/>
  <c r="AG6" i="3"/>
  <c r="AH6" i="3" s="1"/>
  <c r="AG7" i="3"/>
  <c r="AH7" i="3" s="1"/>
  <c r="AG8" i="3"/>
  <c r="AH8" i="3" s="1"/>
  <c r="AG9" i="3"/>
  <c r="AH9" i="3" s="1"/>
  <c r="AG10" i="3"/>
  <c r="AH10" i="3" s="1"/>
  <c r="AG11" i="3"/>
  <c r="AH11" i="3" s="1"/>
  <c r="AG12" i="3"/>
  <c r="AH12" i="3" s="1"/>
  <c r="AG13" i="3"/>
  <c r="AH13" i="3" s="1"/>
  <c r="AG14" i="3"/>
  <c r="AH14" i="3" s="1"/>
  <c r="AG15" i="3"/>
  <c r="AH15" i="3" s="1"/>
  <c r="AG16" i="3"/>
  <c r="AH16" i="3" s="1"/>
  <c r="AG17" i="3"/>
  <c r="AH17" i="3" s="1"/>
  <c r="AG18" i="3"/>
  <c r="AH18" i="3" s="1"/>
  <c r="AG19" i="3"/>
  <c r="AH19" i="3" s="1"/>
  <c r="AG20" i="3"/>
  <c r="AH20" i="3" s="1"/>
  <c r="AG21" i="3"/>
  <c r="AH21" i="3" s="1"/>
  <c r="AG22" i="3"/>
  <c r="AH22" i="3" s="1"/>
  <c r="AG23" i="3"/>
  <c r="AH23" i="3" s="1"/>
  <c r="AG24" i="3"/>
  <c r="AH24" i="3" s="1"/>
  <c r="AG25" i="3"/>
  <c r="AH25" i="3" s="1"/>
  <c r="AG26" i="3"/>
  <c r="AH26" i="3" s="1"/>
  <c r="AG27" i="3"/>
  <c r="AH27" i="3" s="1"/>
  <c r="AG28" i="3"/>
  <c r="AH28" i="3" s="1"/>
  <c r="AG29" i="3"/>
  <c r="AH29" i="3" s="1"/>
  <c r="AG30" i="3"/>
  <c r="AH30" i="3" s="1"/>
  <c r="AG31" i="3"/>
  <c r="AH31" i="3" s="1"/>
  <c r="AG32" i="3"/>
  <c r="AH32" i="3" s="1"/>
  <c r="AG33" i="3"/>
  <c r="AH33" i="3" s="1"/>
  <c r="AG34" i="3"/>
  <c r="AH34" i="3" s="1"/>
  <c r="AG35" i="3"/>
  <c r="AH35" i="3" s="1"/>
  <c r="AG36" i="3"/>
  <c r="AH36" i="3" s="1"/>
  <c r="AG37" i="3"/>
  <c r="AH37" i="3" s="1"/>
  <c r="AG38" i="3"/>
  <c r="AH38" i="3" s="1"/>
  <c r="AG39" i="3"/>
  <c r="AH39" i="3" s="1"/>
  <c r="AG40" i="3"/>
  <c r="AH40" i="3" s="1"/>
  <c r="AG41" i="3"/>
  <c r="AH41" i="3" s="1"/>
  <c r="AG42" i="3"/>
  <c r="AH42" i="3" s="1"/>
  <c r="AG43" i="3"/>
  <c r="AH43" i="3" s="1"/>
  <c r="AG44" i="3"/>
  <c r="AH44" i="3" s="1"/>
  <c r="AG45" i="3"/>
  <c r="AH45" i="3" s="1"/>
  <c r="AG46" i="3"/>
  <c r="AH46" i="3" s="1"/>
  <c r="AG47" i="3"/>
  <c r="AH47" i="3" s="1"/>
  <c r="AG48" i="3"/>
  <c r="AH48" i="3" s="1"/>
  <c r="AG49" i="3"/>
  <c r="AH49" i="3" s="1"/>
  <c r="AG50" i="3"/>
  <c r="AH50" i="3" s="1"/>
  <c r="AG51" i="3"/>
  <c r="AH51" i="3" s="1"/>
  <c r="AG52" i="3"/>
  <c r="AH52" i="3" s="1"/>
  <c r="AG53" i="3"/>
  <c r="AH53" i="3" s="1"/>
  <c r="AG54" i="3"/>
  <c r="AH54" i="3" s="1"/>
  <c r="AG55" i="3"/>
  <c r="AH55" i="3" s="1"/>
  <c r="AG56" i="3"/>
  <c r="AH56" i="3" s="1"/>
  <c r="AG57" i="3"/>
  <c r="AH57" i="3" s="1"/>
  <c r="AG58" i="3"/>
  <c r="AH58" i="3" s="1"/>
  <c r="AG59" i="3"/>
  <c r="AH59" i="3" s="1"/>
  <c r="AG60" i="3"/>
  <c r="AH60" i="3" s="1"/>
  <c r="AG61" i="3"/>
  <c r="AH61" i="3" s="1"/>
  <c r="AG62" i="3"/>
  <c r="AH62" i="3" s="1"/>
  <c r="AG63" i="3"/>
  <c r="AH63" i="3" s="1"/>
  <c r="AG64" i="3"/>
  <c r="AH64" i="3" s="1"/>
  <c r="AG65" i="3"/>
  <c r="AH65" i="3" s="1"/>
  <c r="AG66" i="3"/>
  <c r="AH66" i="3" s="1"/>
  <c r="AG67" i="3"/>
  <c r="AH67" i="3" s="1"/>
  <c r="AG68" i="3"/>
  <c r="AH68" i="3" s="1"/>
  <c r="AG69" i="3"/>
  <c r="AH69" i="3" s="1"/>
  <c r="AG70" i="3"/>
  <c r="AH70" i="3" s="1"/>
  <c r="AG71" i="3"/>
  <c r="AH71" i="3" s="1"/>
  <c r="AG72" i="3"/>
  <c r="AH72" i="3" s="1"/>
  <c r="AG73" i="3"/>
  <c r="AH73" i="3" s="1"/>
  <c r="AG74" i="3"/>
  <c r="AH74" i="3" s="1"/>
  <c r="AG75" i="3"/>
  <c r="AH75" i="3" s="1"/>
  <c r="AG76" i="3"/>
  <c r="AH76" i="3" s="1"/>
  <c r="AG77" i="3"/>
  <c r="AH77" i="3" s="1"/>
  <c r="AG78" i="3"/>
  <c r="AH78" i="3" s="1"/>
  <c r="AG79" i="3"/>
  <c r="AH79" i="3" s="1"/>
  <c r="AG80" i="3"/>
  <c r="AH80" i="3" s="1"/>
  <c r="AG81" i="3"/>
  <c r="AH81" i="3" s="1"/>
  <c r="AG82" i="3"/>
  <c r="AH82" i="3" s="1"/>
  <c r="AG83" i="3"/>
  <c r="AH83" i="3" s="1"/>
  <c r="AG84" i="3"/>
  <c r="AH84" i="3" s="1"/>
  <c r="AG85" i="3"/>
  <c r="AH85" i="3" s="1"/>
  <c r="AG86" i="3"/>
  <c r="AH86" i="3" s="1"/>
  <c r="AG87" i="3"/>
  <c r="AH87" i="3" s="1"/>
  <c r="AG88" i="3"/>
  <c r="AH88" i="3" s="1"/>
  <c r="AG89" i="3"/>
  <c r="AH89" i="3" s="1"/>
  <c r="AG90" i="3"/>
  <c r="AH90" i="3" s="1"/>
  <c r="AG91" i="3"/>
  <c r="AH91" i="3" s="1"/>
  <c r="AG92" i="3"/>
  <c r="AH92" i="3" s="1"/>
  <c r="AG93" i="3"/>
  <c r="AH93" i="3" s="1"/>
  <c r="AG94" i="3"/>
  <c r="AH94" i="3" s="1"/>
  <c r="AG95" i="3"/>
  <c r="AH95" i="3" s="1"/>
  <c r="AG96" i="3"/>
  <c r="AH96" i="3" s="1"/>
  <c r="AG97" i="3"/>
  <c r="AH97" i="3" s="1"/>
  <c r="AG98" i="3"/>
  <c r="AH98" i="3" s="1"/>
  <c r="AG99" i="3"/>
  <c r="AH99" i="3" s="1"/>
  <c r="AG100" i="3"/>
  <c r="AH100" i="3" s="1"/>
  <c r="AG101" i="3"/>
  <c r="AH101" i="3" s="1"/>
  <c r="AG102" i="3"/>
  <c r="AH102" i="3" s="1"/>
  <c r="AG103" i="3"/>
  <c r="AH103" i="3" s="1"/>
  <c r="AG104" i="3"/>
  <c r="AH104" i="3" s="1"/>
  <c r="AG105" i="3"/>
  <c r="AH105" i="3" s="1"/>
  <c r="AG106" i="3"/>
  <c r="AH106" i="3" s="1"/>
  <c r="AG107" i="3"/>
  <c r="AH107" i="3" s="1"/>
  <c r="AG108" i="3"/>
  <c r="AH108" i="3" s="1"/>
  <c r="AG109" i="3"/>
  <c r="AH109" i="3" s="1"/>
  <c r="AG110" i="3"/>
  <c r="AH110" i="3" s="1"/>
  <c r="AG111" i="3"/>
  <c r="AH111" i="3" s="1"/>
  <c r="AG112" i="3"/>
  <c r="AH112" i="3" s="1"/>
  <c r="AG113" i="3"/>
  <c r="AH113" i="3" s="1"/>
  <c r="AG114" i="3"/>
  <c r="AH114" i="3" s="1"/>
  <c r="AG115" i="3"/>
  <c r="AH115" i="3" s="1"/>
  <c r="AG116" i="3"/>
  <c r="AH116" i="3" s="1"/>
  <c r="AG117" i="3"/>
  <c r="AH117" i="3" s="1"/>
  <c r="AG118" i="3"/>
  <c r="AH118" i="3" s="1"/>
  <c r="AG119" i="3"/>
  <c r="AH119" i="3" s="1"/>
  <c r="AG120" i="3"/>
  <c r="AH120" i="3" s="1"/>
  <c r="AG121" i="3"/>
  <c r="AH121" i="3" s="1"/>
  <c r="AG122" i="3"/>
  <c r="AH122" i="3" s="1"/>
  <c r="AG123" i="3"/>
  <c r="AH123" i="3" s="1"/>
  <c r="AG124" i="3"/>
  <c r="AH124" i="3" s="1"/>
  <c r="AG125" i="3"/>
  <c r="AH125" i="3" s="1"/>
  <c r="AG2" i="3"/>
  <c r="AH2" i="3" s="1"/>
  <c r="AA5" i="3"/>
  <c r="AB5" i="3" s="1"/>
  <c r="AA6" i="3"/>
  <c r="AB6" i="3" s="1"/>
  <c r="AA7" i="3"/>
  <c r="AB7" i="3" s="1"/>
  <c r="AA8" i="3"/>
  <c r="AB8" i="3" s="1"/>
  <c r="AA9" i="3"/>
  <c r="AB9" i="3" s="1"/>
  <c r="AA10" i="3"/>
  <c r="AB10" i="3" s="1"/>
  <c r="AA11" i="3"/>
  <c r="AB11" i="3" s="1"/>
  <c r="AA12" i="3"/>
  <c r="AB12" i="3" s="1"/>
  <c r="AA13" i="3"/>
  <c r="AB13" i="3" s="1"/>
  <c r="AA14" i="3"/>
  <c r="AB14" i="3" s="1"/>
  <c r="AA15" i="3"/>
  <c r="AB15" i="3" s="1"/>
  <c r="AA16" i="3"/>
  <c r="AB16" i="3" s="1"/>
  <c r="AA17" i="3"/>
  <c r="AB17" i="3" s="1"/>
  <c r="AA18" i="3"/>
  <c r="AB18" i="3" s="1"/>
  <c r="AA19" i="3"/>
  <c r="AB19" i="3" s="1"/>
  <c r="AA20" i="3"/>
  <c r="AB20" i="3" s="1"/>
  <c r="AA21" i="3"/>
  <c r="AB21" i="3" s="1"/>
  <c r="AA22" i="3"/>
  <c r="AB22" i="3" s="1"/>
  <c r="AA23" i="3"/>
  <c r="AB23" i="3" s="1"/>
  <c r="AA24" i="3"/>
  <c r="AB24" i="3" s="1"/>
  <c r="AA25" i="3"/>
  <c r="AB25" i="3" s="1"/>
  <c r="AA26" i="3"/>
  <c r="AB26" i="3" s="1"/>
  <c r="AA27" i="3"/>
  <c r="AB27" i="3" s="1"/>
  <c r="AA28" i="3"/>
  <c r="AB28" i="3" s="1"/>
  <c r="AA29" i="3"/>
  <c r="AB29" i="3" s="1"/>
  <c r="AA30" i="3"/>
  <c r="AB30" i="3" s="1"/>
  <c r="AA31" i="3"/>
  <c r="AB31" i="3" s="1"/>
  <c r="AA32" i="3"/>
  <c r="AB32" i="3" s="1"/>
  <c r="AA33" i="3"/>
  <c r="AB33" i="3" s="1"/>
  <c r="AA34" i="3"/>
  <c r="AB34" i="3" s="1"/>
  <c r="AA35" i="3"/>
  <c r="AB35" i="3" s="1"/>
  <c r="AA36" i="3"/>
  <c r="AB36" i="3" s="1"/>
  <c r="AA37" i="3"/>
  <c r="AB37" i="3" s="1"/>
  <c r="AA38" i="3"/>
  <c r="AB38" i="3" s="1"/>
  <c r="AA39" i="3"/>
  <c r="AB39" i="3" s="1"/>
  <c r="AA40" i="3"/>
  <c r="AB40" i="3" s="1"/>
  <c r="AA41" i="3"/>
  <c r="AB41" i="3" s="1"/>
  <c r="AA42" i="3"/>
  <c r="AB42" i="3" s="1"/>
  <c r="AA43" i="3"/>
  <c r="AB43" i="3" s="1"/>
  <c r="AA44" i="3"/>
  <c r="AB44" i="3" s="1"/>
  <c r="AA45" i="3"/>
  <c r="AB45" i="3" s="1"/>
  <c r="AA46" i="3"/>
  <c r="AB46" i="3" s="1"/>
  <c r="AA47" i="3"/>
  <c r="AB47" i="3" s="1"/>
  <c r="AA48" i="3"/>
  <c r="AB48" i="3" s="1"/>
  <c r="AA49" i="3"/>
  <c r="AB49" i="3" s="1"/>
  <c r="AA50" i="3"/>
  <c r="AB50" i="3" s="1"/>
  <c r="AA51" i="3"/>
  <c r="AB51" i="3" s="1"/>
  <c r="AA52" i="3"/>
  <c r="AB52" i="3" s="1"/>
  <c r="AA53" i="3"/>
  <c r="AB53" i="3" s="1"/>
  <c r="AA54" i="3"/>
  <c r="AB54" i="3" s="1"/>
  <c r="AA55" i="3"/>
  <c r="AB55" i="3" s="1"/>
  <c r="AA56" i="3"/>
  <c r="AB56" i="3" s="1"/>
  <c r="AA57" i="3"/>
  <c r="AB57" i="3" s="1"/>
  <c r="AA58" i="3"/>
  <c r="AB58" i="3" s="1"/>
  <c r="AA59" i="3"/>
  <c r="AB59" i="3" s="1"/>
  <c r="AA60" i="3"/>
  <c r="AB60" i="3" s="1"/>
  <c r="AA61" i="3"/>
  <c r="AB61" i="3" s="1"/>
  <c r="AA62" i="3"/>
  <c r="AB62" i="3" s="1"/>
  <c r="AA63" i="3"/>
  <c r="AB63" i="3" s="1"/>
  <c r="AA64" i="3"/>
  <c r="AB64" i="3" s="1"/>
  <c r="AA65" i="3"/>
  <c r="AB65" i="3" s="1"/>
  <c r="AA66" i="3"/>
  <c r="AB66" i="3" s="1"/>
  <c r="AA67" i="3"/>
  <c r="AB67" i="3" s="1"/>
  <c r="AA68" i="3"/>
  <c r="AB68" i="3" s="1"/>
  <c r="AA69" i="3"/>
  <c r="AB69" i="3" s="1"/>
  <c r="AA70" i="3"/>
  <c r="AB70" i="3" s="1"/>
  <c r="AA71" i="3"/>
  <c r="AB71" i="3" s="1"/>
  <c r="AA72" i="3"/>
  <c r="AB72" i="3" s="1"/>
  <c r="AA73" i="3"/>
  <c r="AB73" i="3" s="1"/>
  <c r="AA74" i="3"/>
  <c r="AB74" i="3" s="1"/>
  <c r="AA75" i="3"/>
  <c r="AB75" i="3" s="1"/>
  <c r="AA76" i="3"/>
  <c r="AB76" i="3" s="1"/>
  <c r="AA77" i="3"/>
  <c r="AB77" i="3" s="1"/>
  <c r="AA78" i="3"/>
  <c r="AB78" i="3" s="1"/>
  <c r="AA79" i="3"/>
  <c r="AB79" i="3" s="1"/>
  <c r="AA80" i="3"/>
  <c r="AB80" i="3" s="1"/>
  <c r="AA81" i="3"/>
  <c r="AB81" i="3" s="1"/>
  <c r="AA82" i="3"/>
  <c r="AB82" i="3" s="1"/>
  <c r="AA83" i="3"/>
  <c r="AB83" i="3" s="1"/>
  <c r="AA84" i="3"/>
  <c r="AB84" i="3" s="1"/>
  <c r="AA85" i="3"/>
  <c r="AB85" i="3" s="1"/>
  <c r="AA86" i="3"/>
  <c r="AB86" i="3" s="1"/>
  <c r="AA87" i="3"/>
  <c r="AB87" i="3" s="1"/>
  <c r="AA88" i="3"/>
  <c r="AB88" i="3" s="1"/>
  <c r="AA89" i="3"/>
  <c r="AB89" i="3" s="1"/>
  <c r="AA90" i="3"/>
  <c r="AB90" i="3" s="1"/>
  <c r="AA91" i="3"/>
  <c r="AB91" i="3" s="1"/>
  <c r="AA92" i="3"/>
  <c r="AB92" i="3" s="1"/>
  <c r="AA93" i="3"/>
  <c r="AB93" i="3" s="1"/>
  <c r="AA94" i="3"/>
  <c r="AB94" i="3" s="1"/>
  <c r="AA95" i="3"/>
  <c r="AB95" i="3" s="1"/>
  <c r="AA96" i="3"/>
  <c r="AB96" i="3" s="1"/>
  <c r="AA97" i="3"/>
  <c r="AB97" i="3" s="1"/>
  <c r="AA98" i="3"/>
  <c r="AB98" i="3" s="1"/>
  <c r="AA99" i="3"/>
  <c r="AB99" i="3" s="1"/>
  <c r="AA100" i="3"/>
  <c r="AB100" i="3" s="1"/>
  <c r="AA101" i="3"/>
  <c r="AB101" i="3" s="1"/>
  <c r="AA102" i="3"/>
  <c r="AB102" i="3" s="1"/>
  <c r="AA103" i="3"/>
  <c r="AB103" i="3" s="1"/>
  <c r="AA104" i="3"/>
  <c r="AB104" i="3" s="1"/>
  <c r="AA105" i="3"/>
  <c r="AB105" i="3" s="1"/>
  <c r="AA106" i="3"/>
  <c r="AB106" i="3" s="1"/>
  <c r="AA107" i="3"/>
  <c r="AB107" i="3" s="1"/>
  <c r="AA108" i="3"/>
  <c r="AB108" i="3" s="1"/>
  <c r="AA109" i="3"/>
  <c r="AB109" i="3" s="1"/>
  <c r="AA110" i="3"/>
  <c r="AB110" i="3" s="1"/>
  <c r="AA111" i="3"/>
  <c r="AB111" i="3" s="1"/>
  <c r="AA112" i="3"/>
  <c r="AB112" i="3" s="1"/>
  <c r="AA113" i="3"/>
  <c r="AB113" i="3" s="1"/>
  <c r="AA114" i="3"/>
  <c r="AB114" i="3" s="1"/>
  <c r="AA115" i="3"/>
  <c r="AB115" i="3" s="1"/>
  <c r="AA116" i="3"/>
  <c r="AB116" i="3" s="1"/>
  <c r="AA117" i="3"/>
  <c r="AB117" i="3" s="1"/>
  <c r="AA118" i="3"/>
  <c r="AB118" i="3" s="1"/>
  <c r="AA119" i="3"/>
  <c r="AB119" i="3" s="1"/>
  <c r="AA120" i="3"/>
  <c r="AB120" i="3" s="1"/>
  <c r="AA121" i="3"/>
  <c r="AB121" i="3" s="1"/>
  <c r="AA122" i="3"/>
  <c r="AB122" i="3" s="1"/>
  <c r="AA123" i="3"/>
  <c r="AB123" i="3" s="1"/>
  <c r="AA124" i="3"/>
  <c r="AB124" i="3" s="1"/>
  <c r="AA125" i="3"/>
  <c r="AB125" i="3" s="1"/>
  <c r="AA4" i="3"/>
  <c r="AB4" i="3" s="1"/>
  <c r="S11" i="3"/>
  <c r="T11" i="3" s="1"/>
  <c r="S8" i="3"/>
  <c r="T8" i="3" s="1"/>
  <c r="S9" i="3"/>
  <c r="T9" i="3" s="1"/>
  <c r="S10" i="3"/>
  <c r="T10" i="3" s="1"/>
  <c r="S12" i="3"/>
  <c r="T12" i="3" s="1"/>
  <c r="S13" i="3"/>
  <c r="T13" i="3" s="1"/>
  <c r="S14" i="3"/>
  <c r="T14" i="3" s="1"/>
  <c r="S15" i="3"/>
  <c r="T15" i="3" s="1"/>
  <c r="S16" i="3"/>
  <c r="T16" i="3" s="1"/>
  <c r="S17" i="3"/>
  <c r="T17" i="3" s="1"/>
  <c r="S18" i="3"/>
  <c r="T18" i="3" s="1"/>
  <c r="S19" i="3"/>
  <c r="T19" i="3" s="1"/>
  <c r="S20" i="3"/>
  <c r="T20" i="3" s="1"/>
  <c r="S21" i="3"/>
  <c r="T21" i="3" s="1"/>
  <c r="S22" i="3"/>
  <c r="T22" i="3" s="1"/>
  <c r="S23" i="3"/>
  <c r="T23" i="3" s="1"/>
  <c r="S24" i="3"/>
  <c r="T24" i="3" s="1"/>
  <c r="S25" i="3"/>
  <c r="T25" i="3" s="1"/>
  <c r="S26" i="3"/>
  <c r="T26" i="3" s="1"/>
  <c r="S27" i="3"/>
  <c r="T27" i="3" s="1"/>
  <c r="S28" i="3"/>
  <c r="T28" i="3" s="1"/>
  <c r="S29" i="3"/>
  <c r="T29" i="3" s="1"/>
  <c r="S30" i="3"/>
  <c r="T30" i="3" s="1"/>
  <c r="S31" i="3"/>
  <c r="T31" i="3" s="1"/>
  <c r="S32" i="3"/>
  <c r="T32" i="3" s="1"/>
  <c r="S33" i="3"/>
  <c r="T33" i="3" s="1"/>
  <c r="S34" i="3"/>
  <c r="T34" i="3" s="1"/>
  <c r="S35" i="3"/>
  <c r="T35" i="3" s="1"/>
  <c r="S36" i="3"/>
  <c r="T36" i="3" s="1"/>
  <c r="S37" i="3"/>
  <c r="T37" i="3" s="1"/>
  <c r="S38" i="3"/>
  <c r="T38" i="3" s="1"/>
  <c r="S39" i="3"/>
  <c r="T39" i="3" s="1"/>
  <c r="S40" i="3"/>
  <c r="T40" i="3" s="1"/>
  <c r="S41" i="3"/>
  <c r="T41" i="3" s="1"/>
  <c r="S42" i="3"/>
  <c r="T42" i="3" s="1"/>
  <c r="S43" i="3"/>
  <c r="T43" i="3" s="1"/>
  <c r="S44" i="3"/>
  <c r="T44" i="3" s="1"/>
  <c r="S45" i="3"/>
  <c r="T45" i="3" s="1"/>
  <c r="S46" i="3"/>
  <c r="T46" i="3" s="1"/>
  <c r="S47" i="3"/>
  <c r="T47" i="3" s="1"/>
  <c r="S48" i="3"/>
  <c r="T48" i="3" s="1"/>
  <c r="S49" i="3"/>
  <c r="T49" i="3" s="1"/>
  <c r="S50" i="3"/>
  <c r="T50" i="3" s="1"/>
  <c r="S51" i="3"/>
  <c r="T51" i="3" s="1"/>
  <c r="S52" i="3"/>
  <c r="T52" i="3" s="1"/>
  <c r="S53" i="3"/>
  <c r="T53" i="3" s="1"/>
  <c r="S54" i="3"/>
  <c r="T54" i="3" s="1"/>
  <c r="S55" i="3"/>
  <c r="T55" i="3" s="1"/>
  <c r="S56" i="3"/>
  <c r="T56" i="3" s="1"/>
  <c r="S57" i="3"/>
  <c r="T57" i="3" s="1"/>
  <c r="S58" i="3"/>
  <c r="T58" i="3" s="1"/>
  <c r="S59" i="3"/>
  <c r="T59" i="3" s="1"/>
  <c r="S60" i="3"/>
  <c r="T60" i="3" s="1"/>
  <c r="S61" i="3"/>
  <c r="T61" i="3" s="1"/>
  <c r="S62" i="3"/>
  <c r="T62" i="3" s="1"/>
  <c r="S63" i="3"/>
  <c r="T63" i="3" s="1"/>
  <c r="S64" i="3"/>
  <c r="T64" i="3" s="1"/>
  <c r="S65" i="3"/>
  <c r="T65" i="3" s="1"/>
  <c r="S66" i="3"/>
  <c r="T66" i="3" s="1"/>
  <c r="S67" i="3"/>
  <c r="T67" i="3" s="1"/>
  <c r="S68" i="3"/>
  <c r="T68" i="3" s="1"/>
  <c r="S69" i="3"/>
  <c r="T69" i="3" s="1"/>
  <c r="S70" i="3"/>
  <c r="T70" i="3" s="1"/>
  <c r="S71" i="3"/>
  <c r="T71" i="3" s="1"/>
  <c r="S72" i="3"/>
  <c r="T72" i="3" s="1"/>
  <c r="S73" i="3"/>
  <c r="T73" i="3" s="1"/>
  <c r="S74" i="3"/>
  <c r="T74" i="3" s="1"/>
  <c r="S75" i="3"/>
  <c r="T75" i="3" s="1"/>
  <c r="S76" i="3"/>
  <c r="T76" i="3" s="1"/>
  <c r="S77" i="3"/>
  <c r="T77" i="3" s="1"/>
  <c r="S78" i="3"/>
  <c r="T78" i="3" s="1"/>
  <c r="S79" i="3"/>
  <c r="T79" i="3" s="1"/>
  <c r="S80" i="3"/>
  <c r="T80" i="3" s="1"/>
  <c r="S81" i="3"/>
  <c r="T81" i="3" s="1"/>
  <c r="S82" i="3"/>
  <c r="T82" i="3" s="1"/>
  <c r="S83" i="3"/>
  <c r="T83" i="3" s="1"/>
  <c r="S84" i="3"/>
  <c r="T84" i="3" s="1"/>
  <c r="S85" i="3"/>
  <c r="T85" i="3" s="1"/>
  <c r="S86" i="3"/>
  <c r="T86" i="3" s="1"/>
  <c r="S87" i="3"/>
  <c r="T87" i="3" s="1"/>
  <c r="S88" i="3"/>
  <c r="T88" i="3" s="1"/>
  <c r="S89" i="3"/>
  <c r="T89" i="3" s="1"/>
  <c r="S90" i="3"/>
  <c r="T90" i="3" s="1"/>
  <c r="S91" i="3"/>
  <c r="T91" i="3" s="1"/>
  <c r="S92" i="3"/>
  <c r="T92" i="3" s="1"/>
  <c r="S93" i="3"/>
  <c r="T93" i="3" s="1"/>
  <c r="S94" i="3"/>
  <c r="T94" i="3" s="1"/>
  <c r="S95" i="3"/>
  <c r="T95" i="3" s="1"/>
  <c r="S96" i="3"/>
  <c r="T96" i="3" s="1"/>
  <c r="S97" i="3"/>
  <c r="T97" i="3" s="1"/>
  <c r="S98" i="3"/>
  <c r="T98" i="3" s="1"/>
  <c r="S99" i="3"/>
  <c r="T99" i="3" s="1"/>
  <c r="S100" i="3"/>
  <c r="T100" i="3" s="1"/>
  <c r="S101" i="3"/>
  <c r="T101" i="3" s="1"/>
  <c r="S102" i="3"/>
  <c r="T102" i="3" s="1"/>
  <c r="S103" i="3"/>
  <c r="T103" i="3" s="1"/>
  <c r="S104" i="3"/>
  <c r="T104" i="3" s="1"/>
  <c r="S105" i="3"/>
  <c r="T105" i="3" s="1"/>
  <c r="S106" i="3"/>
  <c r="T106" i="3" s="1"/>
  <c r="S107" i="3"/>
  <c r="T107" i="3" s="1"/>
  <c r="S108" i="3"/>
  <c r="T108" i="3" s="1"/>
  <c r="S109" i="3"/>
  <c r="T109" i="3" s="1"/>
  <c r="S110" i="3"/>
  <c r="T110" i="3" s="1"/>
  <c r="S111" i="3"/>
  <c r="T111" i="3" s="1"/>
  <c r="S112" i="3"/>
  <c r="T112" i="3" s="1"/>
  <c r="S113" i="3"/>
  <c r="T113" i="3" s="1"/>
  <c r="S114" i="3"/>
  <c r="T114" i="3" s="1"/>
  <c r="S115" i="3"/>
  <c r="T115" i="3" s="1"/>
  <c r="S116" i="3"/>
  <c r="T116" i="3" s="1"/>
  <c r="S117" i="3"/>
  <c r="T117" i="3" s="1"/>
  <c r="S118" i="3"/>
  <c r="T118" i="3" s="1"/>
  <c r="S119" i="3"/>
  <c r="T119" i="3" s="1"/>
  <c r="S120" i="3"/>
  <c r="T120" i="3" s="1"/>
  <c r="S121" i="3"/>
  <c r="T121" i="3" s="1"/>
  <c r="S122" i="3"/>
  <c r="T122" i="3" s="1"/>
  <c r="S123" i="3"/>
  <c r="T123" i="3" s="1"/>
  <c r="S124" i="3"/>
  <c r="T124" i="3" s="1"/>
  <c r="S125" i="3"/>
  <c r="T125" i="3" s="1"/>
  <c r="S7" i="3"/>
  <c r="T7" i="3" s="1"/>
  <c r="H10" i="3"/>
  <c r="H9" i="3"/>
  <c r="H8" i="3"/>
  <c r="H7" i="3"/>
  <c r="H6" i="3"/>
  <c r="I6" i="3" s="1"/>
  <c r="G32" i="4" l="1"/>
  <c r="G43" i="4" s="1"/>
  <c r="G48" i="4" s="1"/>
  <c r="G33" i="4"/>
  <c r="G44" i="4" s="1"/>
  <c r="G49" i="4" s="1"/>
  <c r="L31" i="4"/>
  <c r="L42" i="4" s="1"/>
  <c r="L47" i="4" s="1"/>
  <c r="G42" i="4"/>
  <c r="G47" i="4" s="1"/>
  <c r="L44" i="4"/>
  <c r="L49" i="4" s="1"/>
  <c r="L32" i="4"/>
  <c r="L43" i="4" s="1"/>
  <c r="L48" i="4" s="1"/>
  <c r="I31" i="4"/>
  <c r="I42" i="4" s="1"/>
  <c r="I47" i="4" s="1"/>
  <c r="I33" i="4"/>
  <c r="I44" i="4" s="1"/>
  <c r="I49" i="4" s="1"/>
  <c r="I32" i="4"/>
  <c r="I43" i="4" s="1"/>
  <c r="I48" i="4" s="1"/>
  <c r="F33" i="4"/>
  <c r="F44" i="4" s="1"/>
  <c r="F49" i="4" s="1"/>
  <c r="F31" i="4"/>
  <c r="F42" i="4" s="1"/>
  <c r="F47" i="4" s="1"/>
  <c r="F32" i="4"/>
  <c r="F43" i="4" s="1"/>
  <c r="F48" i="4" s="1"/>
  <c r="H33" i="4"/>
  <c r="H44" i="4" s="1"/>
  <c r="H49" i="4" s="1"/>
  <c r="H31" i="4"/>
  <c r="H42" i="4" s="1"/>
  <c r="H47" i="4" s="1"/>
  <c r="H32" i="4"/>
  <c r="H43" i="4" s="1"/>
  <c r="H48" i="4" s="1"/>
  <c r="J32" i="4"/>
  <c r="J43" i="4" s="1"/>
  <c r="J48" i="4" s="1"/>
  <c r="J33" i="4"/>
  <c r="J44" i="4" s="1"/>
  <c r="J49" i="4" s="1"/>
  <c r="J31" i="4"/>
  <c r="J42" i="4" s="1"/>
  <c r="J47" i="4" s="1"/>
  <c r="K33" i="4"/>
  <c r="K44" i="4" s="1"/>
  <c r="K49" i="4" s="1"/>
  <c r="K31" i="4"/>
  <c r="K42" i="4" s="1"/>
  <c r="K47" i="4" s="1"/>
  <c r="K32" i="4"/>
  <c r="K43" i="4" s="1"/>
  <c r="K48" i="4" s="1"/>
  <c r="H11" i="4"/>
  <c r="J12" i="4"/>
  <c r="L13" i="4"/>
  <c r="G12" i="4"/>
  <c r="L12" i="4"/>
  <c r="G3" i="4"/>
  <c r="K12" i="4"/>
  <c r="H3" i="4"/>
  <c r="H13" i="4"/>
  <c r="J3" i="4"/>
  <c r="J11" i="4"/>
  <c r="G13" i="4"/>
  <c r="I3" i="4"/>
  <c r="I11" i="4"/>
  <c r="K13" i="4"/>
  <c r="G11" i="4"/>
  <c r="K11" i="4"/>
  <c r="J13" i="4"/>
  <c r="L3" i="4"/>
  <c r="I13" i="4"/>
  <c r="K3" i="4"/>
  <c r="I12" i="4"/>
  <c r="L11" i="4"/>
  <c r="H12" i="4"/>
  <c r="I7" i="3"/>
  <c r="I8" i="3"/>
  <c r="I9" i="3"/>
  <c r="I10" i="3"/>
  <c r="H11" i="3"/>
  <c r="I11" i="3" s="1"/>
  <c r="H12" i="3"/>
  <c r="I12" i="3" s="1"/>
  <c r="H13" i="3"/>
  <c r="I13" i="3" s="1"/>
  <c r="H14" i="3"/>
  <c r="I14" i="3" s="1"/>
  <c r="H15" i="3"/>
  <c r="I15" i="3" s="1"/>
  <c r="H16" i="3"/>
  <c r="I16" i="3" s="1"/>
  <c r="H17" i="3"/>
  <c r="I17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H24" i="3"/>
  <c r="I24" i="3" s="1"/>
  <c r="H25" i="3"/>
  <c r="I25" i="3" s="1"/>
  <c r="H26" i="3"/>
  <c r="I26" i="3" s="1"/>
  <c r="H27" i="3"/>
  <c r="I27" i="3" s="1"/>
  <c r="H28" i="3"/>
  <c r="I28" i="3" s="1"/>
  <c r="H29" i="3"/>
  <c r="I29" i="3" s="1"/>
  <c r="H30" i="3"/>
  <c r="I30" i="3" s="1"/>
  <c r="H31" i="3"/>
  <c r="I31" i="3" s="1"/>
  <c r="H32" i="3"/>
  <c r="I32" i="3" s="1"/>
  <c r="H33" i="3"/>
  <c r="I33" i="3" s="1"/>
  <c r="H34" i="3"/>
  <c r="I34" i="3" s="1"/>
  <c r="H35" i="3"/>
  <c r="I35" i="3" s="1"/>
  <c r="H36" i="3"/>
  <c r="I36" i="3" s="1"/>
  <c r="H37" i="3"/>
  <c r="I37" i="3" s="1"/>
  <c r="H38" i="3"/>
  <c r="I38" i="3" s="1"/>
  <c r="H39" i="3"/>
  <c r="I39" i="3" s="1"/>
  <c r="H40" i="3"/>
  <c r="I40" i="3" s="1"/>
  <c r="H41" i="3"/>
  <c r="I41" i="3" s="1"/>
  <c r="H42" i="3"/>
  <c r="I42" i="3" s="1"/>
  <c r="H43" i="3"/>
  <c r="I43" i="3" s="1"/>
  <c r="H44" i="3"/>
  <c r="I44" i="3" s="1"/>
  <c r="H45" i="3"/>
  <c r="I45" i="3" s="1"/>
  <c r="H46" i="3"/>
  <c r="I46" i="3" s="1"/>
  <c r="H47" i="3"/>
  <c r="I47" i="3" s="1"/>
  <c r="H48" i="3"/>
  <c r="I48" i="3" s="1"/>
  <c r="H49" i="3"/>
  <c r="I49" i="3" s="1"/>
  <c r="H50" i="3"/>
  <c r="I50" i="3" s="1"/>
  <c r="H51" i="3"/>
  <c r="I51" i="3" s="1"/>
  <c r="H52" i="3"/>
  <c r="I52" i="3" s="1"/>
  <c r="H53" i="3"/>
  <c r="I53" i="3" s="1"/>
  <c r="H54" i="3"/>
  <c r="I54" i="3" s="1"/>
  <c r="H55" i="3"/>
  <c r="I55" i="3" s="1"/>
  <c r="H56" i="3"/>
  <c r="I56" i="3" s="1"/>
  <c r="H57" i="3"/>
  <c r="I57" i="3" s="1"/>
  <c r="H58" i="3"/>
  <c r="I58" i="3" s="1"/>
  <c r="H59" i="3"/>
  <c r="I59" i="3" s="1"/>
  <c r="H60" i="3"/>
  <c r="I60" i="3" s="1"/>
  <c r="H61" i="3"/>
  <c r="I61" i="3" s="1"/>
  <c r="H62" i="3"/>
  <c r="I62" i="3" s="1"/>
  <c r="H63" i="3"/>
  <c r="I63" i="3" s="1"/>
  <c r="H64" i="3"/>
  <c r="I64" i="3" s="1"/>
  <c r="H65" i="3"/>
  <c r="I65" i="3" s="1"/>
  <c r="H66" i="3"/>
  <c r="I66" i="3" s="1"/>
  <c r="H67" i="3"/>
  <c r="I67" i="3" s="1"/>
  <c r="H68" i="3"/>
  <c r="I68" i="3" s="1"/>
  <c r="H69" i="3"/>
  <c r="I69" i="3" s="1"/>
  <c r="H70" i="3"/>
  <c r="I70" i="3" s="1"/>
  <c r="H71" i="3"/>
  <c r="I71" i="3" s="1"/>
  <c r="H72" i="3"/>
  <c r="I72" i="3" s="1"/>
  <c r="H73" i="3"/>
  <c r="I73" i="3" s="1"/>
  <c r="H74" i="3"/>
  <c r="I74" i="3" s="1"/>
  <c r="H75" i="3"/>
  <c r="I75" i="3" s="1"/>
  <c r="H76" i="3"/>
  <c r="I76" i="3" s="1"/>
  <c r="H77" i="3"/>
  <c r="I77" i="3" s="1"/>
  <c r="H78" i="3"/>
  <c r="I78" i="3" s="1"/>
  <c r="H79" i="3"/>
  <c r="I79" i="3" s="1"/>
  <c r="H80" i="3"/>
  <c r="I80" i="3" s="1"/>
  <c r="H81" i="3"/>
  <c r="I81" i="3" s="1"/>
  <c r="H82" i="3"/>
  <c r="I82" i="3" s="1"/>
  <c r="H83" i="3"/>
  <c r="I83" i="3" s="1"/>
  <c r="H84" i="3"/>
  <c r="I84" i="3" s="1"/>
  <c r="H85" i="3"/>
  <c r="I85" i="3" s="1"/>
  <c r="H86" i="3"/>
  <c r="I86" i="3" s="1"/>
  <c r="H87" i="3"/>
  <c r="I87" i="3" s="1"/>
  <c r="H88" i="3"/>
  <c r="I88" i="3" s="1"/>
  <c r="H89" i="3"/>
  <c r="I89" i="3" s="1"/>
  <c r="H90" i="3"/>
  <c r="I90" i="3" s="1"/>
  <c r="H91" i="3"/>
  <c r="I91" i="3" s="1"/>
  <c r="H92" i="3"/>
  <c r="I92" i="3" s="1"/>
  <c r="H93" i="3"/>
  <c r="I93" i="3" s="1"/>
  <c r="H94" i="3"/>
  <c r="I94" i="3" s="1"/>
  <c r="H95" i="3"/>
  <c r="I95" i="3" s="1"/>
  <c r="H96" i="3"/>
  <c r="I96" i="3" s="1"/>
  <c r="H97" i="3"/>
  <c r="I97" i="3" s="1"/>
  <c r="H98" i="3"/>
  <c r="I98" i="3" s="1"/>
  <c r="H99" i="3"/>
  <c r="I99" i="3" s="1"/>
  <c r="H100" i="3"/>
  <c r="I100" i="3" s="1"/>
  <c r="H101" i="3"/>
  <c r="I101" i="3" s="1"/>
  <c r="H102" i="3"/>
  <c r="I102" i="3" s="1"/>
  <c r="H103" i="3"/>
  <c r="I103" i="3" s="1"/>
  <c r="H104" i="3"/>
  <c r="I104" i="3" s="1"/>
  <c r="H105" i="3"/>
  <c r="I105" i="3" s="1"/>
  <c r="H106" i="3"/>
  <c r="I106" i="3" s="1"/>
  <c r="H107" i="3"/>
  <c r="I107" i="3" s="1"/>
  <c r="H108" i="3"/>
  <c r="I108" i="3" s="1"/>
  <c r="H109" i="3"/>
  <c r="I109" i="3" s="1"/>
  <c r="H110" i="3"/>
  <c r="I110" i="3" s="1"/>
  <c r="H111" i="3"/>
  <c r="I111" i="3" s="1"/>
  <c r="H112" i="3"/>
  <c r="I112" i="3" s="1"/>
  <c r="H113" i="3"/>
  <c r="I113" i="3" s="1"/>
  <c r="H114" i="3"/>
  <c r="I114" i="3" s="1"/>
  <c r="H115" i="3"/>
  <c r="I115" i="3" s="1"/>
  <c r="H116" i="3"/>
  <c r="I116" i="3" s="1"/>
  <c r="H117" i="3"/>
  <c r="I117" i="3" s="1"/>
  <c r="H118" i="3"/>
  <c r="I118" i="3" s="1"/>
  <c r="H119" i="3"/>
  <c r="I119" i="3" s="1"/>
  <c r="H120" i="3"/>
  <c r="I120" i="3" s="1"/>
  <c r="H121" i="3"/>
  <c r="I121" i="3" s="1"/>
  <c r="H122" i="3"/>
  <c r="I122" i="3" s="1"/>
  <c r="H123" i="3"/>
  <c r="I123" i="3" s="1"/>
  <c r="H124" i="3"/>
  <c r="I124" i="3" s="1"/>
  <c r="H125" i="3"/>
  <c r="I125" i="3" s="1"/>
  <c r="F3" i="4" l="1"/>
  <c r="K6" i="4"/>
  <c r="K17" i="4" s="1"/>
  <c r="K22" i="4" s="1"/>
  <c r="K7" i="4"/>
  <c r="K18" i="4" s="1"/>
  <c r="K23" i="4" s="1"/>
  <c r="K8" i="4"/>
  <c r="K19" i="4" s="1"/>
  <c r="K24" i="4" s="1"/>
  <c r="I6" i="4"/>
  <c r="I17" i="4" s="1"/>
  <c r="I22" i="4" s="1"/>
  <c r="I7" i="4"/>
  <c r="I18" i="4" s="1"/>
  <c r="I23" i="4" s="1"/>
  <c r="I8" i="4"/>
  <c r="I19" i="4" s="1"/>
  <c r="I24" i="4" s="1"/>
  <c r="G6" i="4"/>
  <c r="G17" i="4" s="1"/>
  <c r="G22" i="4" s="1"/>
  <c r="G7" i="4"/>
  <c r="G8" i="4"/>
  <c r="G19" i="4" s="1"/>
  <c r="G24" i="4" s="1"/>
  <c r="H6" i="4"/>
  <c r="H17" i="4" s="1"/>
  <c r="H22" i="4" s="1"/>
  <c r="H7" i="4"/>
  <c r="H18" i="4" s="1"/>
  <c r="H23" i="4" s="1"/>
  <c r="H8" i="4"/>
  <c r="H19" i="4" s="1"/>
  <c r="H24" i="4" s="1"/>
  <c r="L7" i="4"/>
  <c r="L18" i="4" s="1"/>
  <c r="L23" i="4" s="1"/>
  <c r="L6" i="4"/>
  <c r="L17" i="4" s="1"/>
  <c r="L22" i="4" s="1"/>
  <c r="L8" i="4"/>
  <c r="L19" i="4" s="1"/>
  <c r="L24" i="4" s="1"/>
  <c r="F13" i="4"/>
  <c r="F12" i="4"/>
  <c r="F11" i="4"/>
  <c r="J6" i="4"/>
  <c r="J17" i="4" s="1"/>
  <c r="J22" i="4" s="1"/>
  <c r="J7" i="4"/>
  <c r="J18" i="4" s="1"/>
  <c r="J23" i="4" s="1"/>
  <c r="J8" i="4"/>
  <c r="J19" i="4" s="1"/>
  <c r="J24" i="4" s="1"/>
  <c r="F8" i="4" l="1"/>
  <c r="F19" i="4" s="1"/>
  <c r="F24" i="4" s="1"/>
  <c r="F6" i="4"/>
  <c r="F17" i="4" s="1"/>
  <c r="F22" i="4" s="1"/>
  <c r="G18" i="4"/>
  <c r="G23" i="4" s="1"/>
  <c r="F7" i="4"/>
  <c r="F18" i="4" s="1"/>
  <c r="F23" i="4" s="1"/>
</calcChain>
</file>

<file path=xl/sharedStrings.xml><?xml version="1.0" encoding="utf-8"?>
<sst xmlns="http://schemas.openxmlformats.org/spreadsheetml/2006/main" count="4367" uniqueCount="377">
  <si>
    <t>2019/09/27</t>
  </si>
  <si>
    <t>2019/09/30</t>
  </si>
  <si>
    <t>2019/10/01</t>
  </si>
  <si>
    <t>2019/10/02</t>
  </si>
  <si>
    <t>2019/10/03</t>
  </si>
  <si>
    <t>2019/10/04</t>
  </si>
  <si>
    <t>2019/10/07</t>
  </si>
  <si>
    <t>2019/10/08</t>
  </si>
  <si>
    <t>2019/10/09</t>
  </si>
  <si>
    <t>2019/10/10</t>
  </si>
  <si>
    <t>2019/10/11</t>
  </si>
  <si>
    <t>2019/10/14</t>
  </si>
  <si>
    <t>2019/10/15</t>
  </si>
  <si>
    <t>2019/10/16</t>
  </si>
  <si>
    <t>2019/10/17</t>
  </si>
  <si>
    <t>2019/10/18</t>
  </si>
  <si>
    <t>2019/10/21</t>
  </si>
  <si>
    <t>2019/10/22</t>
  </si>
  <si>
    <t>2019/10/23</t>
  </si>
  <si>
    <t>2019/10/24</t>
  </si>
  <si>
    <t>2019/10/25</t>
  </si>
  <si>
    <t>2019/10/28</t>
  </si>
  <si>
    <t>2019/10/29</t>
  </si>
  <si>
    <t>2019/10/30</t>
  </si>
  <si>
    <t>2019/10/31</t>
  </si>
  <si>
    <t>2019/11/01</t>
  </si>
  <si>
    <t>2019/11/04</t>
  </si>
  <si>
    <t>2019/11/05</t>
  </si>
  <si>
    <t>2019/11/06</t>
  </si>
  <si>
    <t>2019/11/07</t>
  </si>
  <si>
    <t>2019/11/08</t>
  </si>
  <si>
    <t>2019/11/11</t>
  </si>
  <si>
    <t>2019/11/12</t>
  </si>
  <si>
    <t>2019/11/13</t>
  </si>
  <si>
    <t>2019/11/14</t>
  </si>
  <si>
    <t>2019/11/15</t>
  </si>
  <si>
    <t>2019/11/18</t>
  </si>
  <si>
    <t>2019/11/19</t>
  </si>
  <si>
    <t>2019/11/20</t>
  </si>
  <si>
    <t>2019/11/21</t>
  </si>
  <si>
    <t>2019/11/22</t>
  </si>
  <si>
    <t>2019/11/25</t>
  </si>
  <si>
    <t>2019/11/26</t>
  </si>
  <si>
    <t>2019/11/27</t>
  </si>
  <si>
    <t>2019/11/29</t>
  </si>
  <si>
    <t>2019/12/02</t>
  </si>
  <si>
    <t>2019/12/03</t>
  </si>
  <si>
    <t>2019/12/04</t>
  </si>
  <si>
    <t>2019/12/05</t>
  </si>
  <si>
    <t>2019/12/06</t>
  </si>
  <si>
    <t>2019/12/09</t>
  </si>
  <si>
    <t>2019/12/10</t>
  </si>
  <si>
    <t>2019/12/11</t>
  </si>
  <si>
    <t>2019/12/12</t>
  </si>
  <si>
    <t>2019/12/13</t>
  </si>
  <si>
    <t>2019/12/16</t>
  </si>
  <si>
    <t>2019/12/17</t>
  </si>
  <si>
    <t>2019/12/18</t>
  </si>
  <si>
    <t>2019/12/19</t>
  </si>
  <si>
    <t>2019/12/20</t>
  </si>
  <si>
    <t>2019/12/23</t>
  </si>
  <si>
    <t>2019/12/24</t>
  </si>
  <si>
    <t>2019/12/26</t>
  </si>
  <si>
    <t>2019/12/27</t>
  </si>
  <si>
    <t>2019/12/30</t>
  </si>
  <si>
    <t>2019/12/31</t>
  </si>
  <si>
    <t>2020/01/02</t>
  </si>
  <si>
    <t>2020/01/03</t>
  </si>
  <si>
    <t>2020/01/06</t>
  </si>
  <si>
    <t>2020/01/07</t>
  </si>
  <si>
    <t>2020/01/08</t>
  </si>
  <si>
    <t>2020/01/09</t>
  </si>
  <si>
    <t>2020/01/10</t>
  </si>
  <si>
    <t>2020/01/13</t>
  </si>
  <si>
    <t>2020/01/14</t>
  </si>
  <si>
    <t>2020/01/15</t>
  </si>
  <si>
    <t>2020/01/16</t>
  </si>
  <si>
    <t>2020/01/17</t>
  </si>
  <si>
    <t>2020/01/21</t>
  </si>
  <si>
    <t>2020/01/22</t>
  </si>
  <si>
    <t>2020/01/23</t>
  </si>
  <si>
    <t>2020/01/24</t>
  </si>
  <si>
    <t>2020/01/27</t>
  </si>
  <si>
    <t>2020/01/28</t>
  </si>
  <si>
    <t>2020/01/29</t>
  </si>
  <si>
    <t>2020/01/30</t>
  </si>
  <si>
    <t>2020/01/31</t>
  </si>
  <si>
    <t>2020/02/03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</si>
  <si>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</si>
  <si>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</si>
  <si>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</si>
  <si>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</si>
  <si>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</si>
  <si>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</si>
  <si>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</si>
  <si>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</si>
  <si>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</si>
  <si>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</si>
  <si>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</si>
  <si>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</si>
  <si>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</si>
  <si>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</si>
  <si>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</si>
  <si>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</si>
  <si>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</si>
  <si>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2020/02/28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</si>
  <si>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</si>
  <si>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</si>
  <si>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</si>
  <si>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</si>
  <si>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</si>
  <si>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</si>
  <si>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</si>
  <si>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</si>
  <si>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</si>
  <si>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</si>
  <si>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</si>
  <si>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</si>
  <si>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</si>
  <si>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</si>
  <si>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</si>
  <si>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</si>
  <si>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</si>
  <si>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</si>
  <si>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R_SHY</t>
  </si>
  <si>
    <t>R_BTC</t>
  </si>
  <si>
    <t>R_ETH</t>
  </si>
  <si>
    <t>R_OURO</t>
  </si>
  <si>
    <t>R_PRATA</t>
  </si>
  <si>
    <t>R_DXY</t>
  </si>
  <si>
    <t>ANTECIPAÇÃO</t>
  </si>
  <si>
    <t>EVENTO</t>
  </si>
  <si>
    <t>AJUSTE</t>
  </si>
  <si>
    <t>ESTIMAÇÃO</t>
  </si>
  <si>
    <t>JANELA_EV1</t>
  </si>
  <si>
    <t>DATA_EV1</t>
  </si>
  <si>
    <t>R_SPX</t>
  </si>
  <si>
    <t>EVENTO 1</t>
  </si>
  <si>
    <t>SPX</t>
  </si>
  <si>
    <t>SHY</t>
  </si>
  <si>
    <t>BTC</t>
  </si>
  <si>
    <t>ETH</t>
  </si>
  <si>
    <t>ADF</t>
  </si>
  <si>
    <t>KPSS</t>
  </si>
  <si>
    <t>OURO</t>
  </si>
  <si>
    <t>PRATA</t>
  </si>
  <si>
    <t>DXY</t>
  </si>
  <si>
    <t>AIC</t>
  </si>
  <si>
    <t>LAG1_SPX</t>
  </si>
  <si>
    <t>LAG2_SPX</t>
  </si>
  <si>
    <t>LAG3_SPX</t>
  </si>
  <si>
    <t>LAG4_SPX</t>
  </si>
  <si>
    <t>Shapiro-Wilk</t>
  </si>
  <si>
    <t>Breusch-Pagan</t>
  </si>
  <si>
    <t>Box-Ljung (Lag-5)</t>
  </si>
  <si>
    <t>b0</t>
  </si>
  <si>
    <t>b1</t>
  </si>
  <si>
    <t>b2</t>
  </si>
  <si>
    <t>b3</t>
  </si>
  <si>
    <t>b4</t>
  </si>
  <si>
    <t>intercept</t>
  </si>
  <si>
    <t>lag1</t>
  </si>
  <si>
    <t>lag2</t>
  </si>
  <si>
    <t>lag3</t>
  </si>
  <si>
    <t>lag4</t>
  </si>
  <si>
    <t>Coeficiente</t>
  </si>
  <si>
    <t>p-value</t>
  </si>
  <si>
    <t>Std. Error</t>
  </si>
  <si>
    <t>t value</t>
  </si>
  <si>
    <t>AR_SPX_EV1</t>
  </si>
  <si>
    <t>LAG1_SHY</t>
  </si>
  <si>
    <t>LAG2_SHY</t>
  </si>
  <si>
    <t>LAG3_SHY</t>
  </si>
  <si>
    <t>LAG4_SHY</t>
  </si>
  <si>
    <t>LAG5_SHY</t>
  </si>
  <si>
    <t>AR_SHY_EV1</t>
  </si>
  <si>
    <t>lag5</t>
  </si>
  <si>
    <t>b5</t>
  </si>
  <si>
    <t>LAG1_BTC</t>
  </si>
  <si>
    <t>LAG2_BTC</t>
  </si>
  <si>
    <t>AR_BTC_EV1</t>
  </si>
  <si>
    <t>AR_ETH_EV1</t>
  </si>
  <si>
    <t>LAG1_OURO</t>
  </si>
  <si>
    <t>LAG2_OURO</t>
  </si>
  <si>
    <t>LAG3_OURO</t>
  </si>
  <si>
    <t>LAG4_OURO</t>
  </si>
  <si>
    <t>AR_OURO_EV1</t>
  </si>
  <si>
    <t>EV1</t>
  </si>
  <si>
    <t>EV2</t>
  </si>
  <si>
    <t>LAG1_PRATA</t>
  </si>
  <si>
    <t>LAG2_PRATA</t>
  </si>
  <si>
    <t>AR_PRATA_EV1</t>
  </si>
  <si>
    <t>LAG1_DXY</t>
  </si>
  <si>
    <t>AR_DXY_EV1</t>
  </si>
  <si>
    <t>JANELAS</t>
  </si>
  <si>
    <t>DIAS</t>
  </si>
  <si>
    <t>gl</t>
  </si>
  <si>
    <t>Parâmetros</t>
  </si>
  <si>
    <t>s (J. estimação)</t>
  </si>
  <si>
    <t>s corrigido por</t>
  </si>
  <si>
    <t>Antecipação</t>
  </si>
  <si>
    <t>evento</t>
  </si>
  <si>
    <t>Ajuste</t>
  </si>
  <si>
    <t>CAR</t>
  </si>
  <si>
    <t>Evento</t>
  </si>
  <si>
    <t>T student</t>
  </si>
  <si>
    <t>EVENTO 2</t>
  </si>
  <si>
    <t>ATIVOS</t>
  </si>
  <si>
    <t>Testes</t>
  </si>
  <si>
    <t>Evento 1</t>
  </si>
  <si>
    <t>Evento 2</t>
  </si>
  <si>
    <t>*</t>
  </si>
  <si>
    <t>2021/09/13</t>
  </si>
  <si>
    <t>2021/09/14</t>
  </si>
  <si>
    <t>2021/09/15</t>
  </si>
  <si>
    <t>2021/09/16</t>
  </si>
  <si>
    <t>2021/09/17</t>
  </si>
  <si>
    <t>2021/09/20</t>
  </si>
  <si>
    <t>2021/09/21</t>
  </si>
  <si>
    <t>2021/09/22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</si>
  <si>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</si>
  <si>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</si>
  <si>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</si>
  <si>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</si>
  <si>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</si>
  <si>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</si>
  <si>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</si>
  <si>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2021/10/04</t>
  </si>
  <si>
    <t>2021/10/05</t>
  </si>
  <si>
    <t>2021/10/06</t>
  </si>
  <si>
    <t>2021/10/07</t>
  </si>
  <si>
    <t>2021/10/08</t>
  </si>
  <si>
    <t>2021/10/11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</si>
  <si>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</si>
  <si>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</si>
  <si>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</si>
  <si>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</si>
  <si>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</si>
  <si>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</si>
  <si>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</si>
  <si>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</si>
  <si>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</si>
  <si>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</si>
  <si>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</si>
  <si>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</si>
  <si>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</si>
  <si>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</si>
  <si>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</si>
  <si>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</si>
  <si>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</si>
  <si>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</si>
  <si>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</si>
  <si>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</si>
  <si>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</si>
  <si>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</si>
  <si>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</si>
  <si>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</si>
  <si>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</si>
  <si>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</si>
  <si>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</si>
  <si>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</si>
  <si>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</si>
  <si>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</si>
  <si>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</si>
  <si>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</si>
  <si>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</si>
  <si>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</si>
  <si>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</si>
  <si>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</si>
  <si>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</si>
  <si>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</si>
  <si>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</si>
  <si>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</si>
  <si>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</si>
  <si>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</si>
  <si>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</si>
  <si>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</si>
  <si>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</si>
  <si>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</si>
  <si>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</si>
  <si>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</si>
  <si>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</si>
  <si>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</si>
  <si>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</si>
  <si>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</si>
  <si>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2021/12/27</t>
  </si>
  <si>
    <t>2021/12/28</t>
  </si>
  <si>
    <t>2021/12/29</t>
  </si>
  <si>
    <t>2021/12/30</t>
  </si>
  <si>
    <t>2021/12/31</t>
  </si>
  <si>
    <t>2022/01/03</t>
  </si>
  <si>
    <t>2022/01/04</t>
  </si>
  <si>
    <t>2022/01/05</t>
  </si>
  <si>
    <t>2022/01/06</t>
  </si>
  <si>
    <t>2022/01/07</t>
  </si>
  <si>
    <t>2022/01/10</t>
  </si>
  <si>
    <t>2022/01/11</t>
  </si>
  <si>
    <t>2022/01/12</t>
  </si>
  <si>
    <t>2022/01/13</t>
  </si>
  <si>
    <t>2022/01/14</t>
  </si>
  <si>
    <t>2022/01/18</t>
  </si>
  <si>
    <t>2022/01/19</t>
  </si>
  <si>
    <t>2022/01/20</t>
  </si>
  <si>
    <t>2022/01/21</t>
  </si>
  <si>
    <t>2022/01/24</t>
  </si>
  <si>
    <t>2022/01/25</t>
  </si>
  <si>
    <t>2022/01/26</t>
  </si>
  <si>
    <t>2022/01/27</t>
  </si>
  <si>
    <t>2022/01/28</t>
  </si>
  <si>
    <t>2022/01/31</t>
  </si>
  <si>
    <t>2022/02/01</t>
  </si>
  <si>
    <t>2022/02/02</t>
  </si>
  <si>
    <t>2022/02/03</t>
  </si>
  <si>
    <t>2022/02/04</t>
  </si>
  <si>
    <t>2022/02/07</t>
  </si>
  <si>
    <t>2022/02/08</t>
  </si>
  <si>
    <t>2022/02/09</t>
  </si>
  <si>
    <t>2022/02/10</t>
  </si>
  <si>
    <t>2022/02/11</t>
  </si>
  <si>
    <t>2022/02/14</t>
  </si>
  <si>
    <t>2022/02/15</t>
  </si>
  <si>
    <t>2022/02/16</t>
  </si>
  <si>
    <t>2022/02/17</t>
  </si>
  <si>
    <t>2022/02/18</t>
  </si>
  <si>
    <t>2022/02/22</t>
  </si>
  <si>
    <t>2022/02/23</t>
  </si>
  <si>
    <t>2022/02/24</t>
  </si>
  <si>
    <t>2022/02/25</t>
  </si>
  <si>
    <t>2022/02/28</t>
  </si>
  <si>
    <t>2022/03/01</t>
  </si>
  <si>
    <t>2022/03/02</t>
  </si>
  <si>
    <t>2022/03/03</t>
  </si>
  <si>
    <t>2022/03/04</t>
  </si>
  <si>
    <t>2022/03/07</t>
  </si>
  <si>
    <t>2022/03/08</t>
  </si>
  <si>
    <t>2022/03/09</t>
  </si>
  <si>
    <t>2022/03/10</t>
  </si>
  <si>
    <t>JANELA_EV2</t>
  </si>
  <si>
    <t>DATA_EV2</t>
  </si>
  <si>
    <t>AR_SPX_EV2</t>
  </si>
  <si>
    <t>R_SPX_ESPERADO_EV1</t>
  </si>
  <si>
    <t>R_SHY_ESPERADO_EV1</t>
  </si>
  <si>
    <t>R_BTC_ESPERADO_EV1</t>
  </si>
  <si>
    <t>R_ETH_ESPERADO_EV1</t>
  </si>
  <si>
    <t>R_OURO_ESPERADO_EV1</t>
  </si>
  <si>
    <t>R_PRATA_ESPERADO_EV1</t>
  </si>
  <si>
    <t>R_DXY_ESPERADO_EV1</t>
  </si>
  <si>
    <t>LAG1_SHY_EV2</t>
  </si>
  <si>
    <t>LAG2_SHY_EV2</t>
  </si>
  <si>
    <t>LAG3_SHY_EV2</t>
  </si>
  <si>
    <t>LAG4_SHY_EV2</t>
  </si>
  <si>
    <t>R_SPX_ESPERADO_EV2</t>
  </si>
  <si>
    <t>AR_SHY_EV2</t>
  </si>
  <si>
    <t>R_SHY_ESPERADO_EV2</t>
  </si>
  <si>
    <t>R_BTC_ESPERADO_EV2</t>
  </si>
  <si>
    <t>AR_BTC_EV2</t>
  </si>
  <si>
    <t>R_ETH_ESPERADO_EV2</t>
  </si>
  <si>
    <t>AR_ETH_EV2</t>
  </si>
  <si>
    <t>LAG1_OURO_EV2</t>
  </si>
  <si>
    <t>LAG2_OURO_EV2</t>
  </si>
  <si>
    <t>LAG3_OURO_EV2</t>
  </si>
  <si>
    <t>LAG4_OURO_EV2</t>
  </si>
  <si>
    <t>R_OURO_ESPERADO_EV2</t>
  </si>
  <si>
    <t>AR_OURO_EV2</t>
  </si>
  <si>
    <t>LAG1_PRATA_EV2</t>
  </si>
  <si>
    <t>LAG2_PRATA_EV2</t>
  </si>
  <si>
    <t>LAG3_PRATA_EV2</t>
  </si>
  <si>
    <t>LAG4_PRATA_EV2</t>
  </si>
  <si>
    <t>R_PRATA_ESPERADO_EV2</t>
  </si>
  <si>
    <t>AR_PRATA_EV2</t>
  </si>
  <si>
    <t>R_DXY_ESPERADO_EV2</t>
  </si>
  <si>
    <t>AR_DXY_EV2</t>
  </si>
  <si>
    <t>Teste de Estacionariedade</t>
  </si>
  <si>
    <t>MODELO - TESTES RESÍDUOS</t>
  </si>
  <si>
    <t>Nota: * Corresponde aos modelos que AIC atribuiram AR(0), inviabilizando o teste Breush-Pagan.</t>
  </si>
  <si>
    <t>Variáveis</t>
  </si>
  <si>
    <t>Correspondente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</si>
</sst>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1" applyNumberFormat="1" applyFon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3" fillId="4" borderId="0" xfId="0" applyFont="1" applyFill="1"/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/>
    <xf numFmtId="0" fontId="3" fillId="4" borderId="2" xfId="0" applyFont="1" applyFill="1" applyBorder="1" applyAlignment="1">
      <alignment horizontal="right"/>
    </xf>
    <xf numFmtId="0" fontId="0" fillId="4" borderId="0" xfId="0" applyFill="1"/>
    <xf numFmtId="0" fontId="0" fillId="4" borderId="0" xfId="0" applyFill="1" applyAlignment="1"/>
    <xf numFmtId="0" fontId="3" fillId="4" borderId="3" xfId="0" applyFont="1" applyFill="1" applyBorder="1" applyAlignment="1">
      <alignment horizontal="center"/>
    </xf>
    <xf numFmtId="0" fontId="3" fillId="4" borderId="3" xfId="0" applyFont="1" applyFill="1" applyBorder="1"/>
    <xf numFmtId="0" fontId="3" fillId="4" borderId="3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/>
    </xf>
    <xf numFmtId="0" fontId="3" fillId="4" borderId="0" xfId="0" applyFont="1" applyFill="1" applyBorder="1"/>
    <xf numFmtId="0" fontId="3" fillId="4" borderId="0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right" vertical="center"/>
    </xf>
    <xf numFmtId="0" fontId="3" fillId="4" borderId="0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BE68E-E667-4C4E-BC92-B4F19FDC7508}">
  <dimension ref="A1:I125"/>
  <sheetViews>
    <sheetView tabSelected="1" workbookViewId="0"/>
  </sheetViews>
  <sheetFormatPr defaultRowHeight="15" x14ac:dyDescent="0.25"/>
  <cols>
    <col min="1" max="1" width="13.85546875" bestFit="1" customWidth="1"/>
    <col min="2" max="2" width="10.7109375" bestFit="1" customWidth="1"/>
    <col min="3" max="3" width="10.7109375" customWidth="1"/>
  </cols>
  <sheetData>
    <row r="1" spans="1:9" x14ac:dyDescent="0.25">
      <c r="A1" t="s">
        <v>134</v>
      </c>
      <c r="B1" t="s">
        <v>135</v>
      </c>
      <c r="C1" t="s">
        <v>136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  <c r="I1" t="s">
        <v>129</v>
      </c>
    </row>
    <row r="2" spans="1:9" x14ac:dyDescent="0.25">
      <c r="A2" t="s">
        <v>133</v>
      </c>
      <c r="B2" t="s">
        <v>0</v>
      </c>
      <c r="C2">
        <v>-5.3204152845832192E-3</v>
      </c>
      <c r="D2">
        <v>5.8993571411842453E-4</v>
      </c>
      <c r="E2">
        <v>1.6233879989938107E-2</v>
      </c>
      <c r="F2">
        <v>4.6774648861306049E-2</v>
      </c>
      <c r="G2">
        <v>-5.9012939599451808E-3</v>
      </c>
      <c r="H2">
        <v>-1.4469346465452351E-2</v>
      </c>
      <c r="I2">
        <v>-2.3204079986689151E-4</v>
      </c>
    </row>
    <row r="3" spans="1:9" x14ac:dyDescent="0.25">
      <c r="A3" t="s">
        <v>133</v>
      </c>
      <c r="B3" t="s">
        <v>1</v>
      </c>
      <c r="C3">
        <v>5.0181127446191909E-3</v>
      </c>
      <c r="D3">
        <v>4.716981219535569E-4</v>
      </c>
      <c r="E3">
        <v>5.0795360437543534E-3</v>
      </c>
      <c r="F3">
        <v>2.9113467233330428E-2</v>
      </c>
      <c r="G3">
        <v>-1.6631181631396558E-2</v>
      </c>
      <c r="H3">
        <v>-3.180992768450773E-2</v>
      </c>
      <c r="I3">
        <v>2.7004439896368779E-3</v>
      </c>
    </row>
    <row r="4" spans="1:9" x14ac:dyDescent="0.25">
      <c r="A4" t="s">
        <v>133</v>
      </c>
      <c r="B4" t="s">
        <v>2</v>
      </c>
      <c r="C4">
        <v>-1.2337698118156418E-2</v>
      </c>
      <c r="D4">
        <v>-4.716981219534771E-4</v>
      </c>
      <c r="E4">
        <v>5.9396113641495803E-3</v>
      </c>
      <c r="F4">
        <v>-1.4175446568688778E-2</v>
      </c>
      <c r="G4">
        <v>4.5608181442482664E-3</v>
      </c>
      <c r="H4">
        <v>1.4023016820749201E-2</v>
      </c>
      <c r="I4">
        <v>-2.5087542439467532E-3</v>
      </c>
    </row>
    <row r="5" spans="1:9" x14ac:dyDescent="0.25">
      <c r="A5" t="s">
        <v>133</v>
      </c>
      <c r="B5" t="s">
        <v>3</v>
      </c>
      <c r="C5">
        <v>-1.8051898964859928E-2</v>
      </c>
      <c r="D5">
        <v>1.0610080570945472E-3</v>
      </c>
      <c r="E5">
        <v>5.9469602760682328E-3</v>
      </c>
      <c r="F5">
        <v>1.8825177785835406E-2</v>
      </c>
      <c r="G5">
        <v>1.3785727087528303E-2</v>
      </c>
      <c r="H5">
        <v>1.839660965156684E-2</v>
      </c>
      <c r="I5">
        <v>-1.1001934018147451E-3</v>
      </c>
    </row>
    <row r="6" spans="1:9" x14ac:dyDescent="0.25">
      <c r="A6" t="s">
        <v>133</v>
      </c>
      <c r="B6" t="s">
        <v>4</v>
      </c>
      <c r="C6">
        <v>7.9335382142198957E-3</v>
      </c>
      <c r="D6">
        <v>2.118644860285155E-3</v>
      </c>
      <c r="E6">
        <v>-1.59793705224438E-2</v>
      </c>
      <c r="F6">
        <v>-3.0971918239215687E-2</v>
      </c>
      <c r="G6">
        <v>3.6545101265193594E-3</v>
      </c>
      <c r="H6">
        <v>0</v>
      </c>
      <c r="I6">
        <v>-1.566582593753262E-3</v>
      </c>
    </row>
    <row r="7" spans="1:9" x14ac:dyDescent="0.25">
      <c r="A7" t="s">
        <v>133</v>
      </c>
      <c r="B7" t="s">
        <v>5</v>
      </c>
      <c r="C7">
        <v>1.4123661241137396E-2</v>
      </c>
      <c r="D7">
        <v>-1.1758480817820968E-4</v>
      </c>
      <c r="E7">
        <v>-6.5654266204983967E-3</v>
      </c>
      <c r="F7">
        <v>1.014060221107105E-2</v>
      </c>
      <c r="G7">
        <v>-2.6581605685501656E-4</v>
      </c>
      <c r="H7">
        <v>-2.8485970852067723E-4</v>
      </c>
      <c r="I7">
        <v>-5.6659518291044962E-4</v>
      </c>
    </row>
    <row r="8" spans="1:9" x14ac:dyDescent="0.25">
      <c r="A8" t="s">
        <v>133</v>
      </c>
      <c r="B8" t="s">
        <v>6</v>
      </c>
      <c r="C8">
        <v>-4.4815719742406779E-3</v>
      </c>
      <c r="D8">
        <v>-1.0588859157515207E-3</v>
      </c>
      <c r="E8">
        <v>4.8243161757353841E-3</v>
      </c>
      <c r="F8">
        <v>2.3460945530760838E-2</v>
      </c>
      <c r="G8">
        <v>-7.3377688986083498E-3</v>
      </c>
      <c r="H8">
        <v>-6.5742697842604619E-3</v>
      </c>
      <c r="I8">
        <v>1.6078880976389542E-3</v>
      </c>
    </row>
    <row r="9" spans="1:9" x14ac:dyDescent="0.25">
      <c r="A9" t="s">
        <v>133</v>
      </c>
      <c r="B9" t="s">
        <v>7</v>
      </c>
      <c r="C9">
        <v>-1.567274317312246E-2</v>
      </c>
      <c r="D9">
        <v>5.8840837237535007E-4</v>
      </c>
      <c r="E9">
        <v>-2.0443572869707255E-3</v>
      </c>
      <c r="F9">
        <v>4.5991949285450057E-3</v>
      </c>
      <c r="G9">
        <v>7.9423979837401609E-3</v>
      </c>
      <c r="H9">
        <v>1.5649771667127815E-2</v>
      </c>
      <c r="I9">
        <v>1.6759216441581326E-3</v>
      </c>
    </row>
    <row r="10" spans="1:9" x14ac:dyDescent="0.25">
      <c r="A10" t="s">
        <v>133</v>
      </c>
      <c r="B10" t="s">
        <v>8</v>
      </c>
      <c r="C10">
        <v>9.0495241234776758E-3</v>
      </c>
      <c r="D10">
        <v>-5.8840837237544483E-4</v>
      </c>
      <c r="E10">
        <v>4.3628561741953974E-2</v>
      </c>
      <c r="F10">
        <v>6.008334429964915E-2</v>
      </c>
      <c r="G10">
        <v>1.2619511774484424E-4</v>
      </c>
      <c r="H10">
        <v>-5.6481221495880589E-4</v>
      </c>
      <c r="I10">
        <v>-1.5132332274363003E-4</v>
      </c>
    </row>
    <row r="11" spans="1:9" x14ac:dyDescent="0.25">
      <c r="A11" t="s">
        <v>133</v>
      </c>
      <c r="B11" t="s">
        <v>9</v>
      </c>
      <c r="C11">
        <v>6.3849982178079316E-3</v>
      </c>
      <c r="D11">
        <v>-1.177856437705781E-3</v>
      </c>
      <c r="E11">
        <v>-1.0786029200664327E-3</v>
      </c>
      <c r="F11">
        <v>-8.4872470797619226E-3</v>
      </c>
      <c r="G11">
        <v>-7.6000365816503608E-3</v>
      </c>
      <c r="H11">
        <v>-1.2507269352394008E-2</v>
      </c>
      <c r="I11">
        <v>-4.2159814543970553E-3</v>
      </c>
    </row>
    <row r="12" spans="1:9" x14ac:dyDescent="0.25">
      <c r="A12" t="s">
        <v>133</v>
      </c>
      <c r="B12" t="s">
        <v>10</v>
      </c>
      <c r="C12">
        <v>1.0899843882292981E-2</v>
      </c>
      <c r="D12">
        <v>-9.4328505992114268E-4</v>
      </c>
      <c r="E12">
        <v>-3.1314731724091022E-2</v>
      </c>
      <c r="F12">
        <v>-4.8589286494471598E-2</v>
      </c>
      <c r="G12">
        <v>-2.9824260164616765E-3</v>
      </c>
      <c r="H12">
        <v>3.4266167166475134E-3</v>
      </c>
      <c r="I12">
        <v>-4.0608780590132062E-3</v>
      </c>
    </row>
    <row r="13" spans="1:9" x14ac:dyDescent="0.25">
      <c r="A13" t="s">
        <v>133</v>
      </c>
      <c r="B13" t="s">
        <v>11</v>
      </c>
      <c r="C13">
        <v>-1.3812854887165905E-3</v>
      </c>
      <c r="D13">
        <v>1.1795930417699823E-4</v>
      </c>
      <c r="E13">
        <v>6.3402620219573016E-3</v>
      </c>
      <c r="F13">
        <v>2.3767565041683415E-2</v>
      </c>
      <c r="G13">
        <v>2.0450933286586905E-3</v>
      </c>
      <c r="H13">
        <v>6.2517964352687668E-3</v>
      </c>
      <c r="I13">
        <v>1.5552339797117404E-3</v>
      </c>
    </row>
    <row r="14" spans="1:9" x14ac:dyDescent="0.25">
      <c r="A14" t="s">
        <v>133</v>
      </c>
      <c r="B14" t="s">
        <v>12</v>
      </c>
      <c r="C14">
        <v>9.8962548042047377E-3</v>
      </c>
      <c r="D14">
        <v>-2.3593252439273968E-4</v>
      </c>
      <c r="E14">
        <v>-2.0424903205006565E-2</v>
      </c>
      <c r="F14">
        <v>-3.0161596058970803E-2</v>
      </c>
      <c r="G14">
        <v>-7.8882210734299227E-3</v>
      </c>
      <c r="H14">
        <v>-1.5991203126292017E-2</v>
      </c>
      <c r="I14">
        <v>-1.6874895994966857E-3</v>
      </c>
    </row>
    <row r="15" spans="1:9" x14ac:dyDescent="0.25">
      <c r="A15" t="s">
        <v>133</v>
      </c>
      <c r="B15" t="s">
        <v>13</v>
      </c>
      <c r="C15">
        <v>-2.004879209332803E-3</v>
      </c>
      <c r="D15">
        <v>4.7180939775896174E-4</v>
      </c>
      <c r="E15">
        <v>-1.9423912358494486E-2</v>
      </c>
      <c r="F15">
        <v>-3.017718110100567E-2</v>
      </c>
      <c r="G15">
        <v>5.7894296221790258E-3</v>
      </c>
      <c r="H15">
        <v>1.1507481131781498E-3</v>
      </c>
      <c r="I15">
        <v>-2.9140577959781326E-3</v>
      </c>
    </row>
    <row r="16" spans="1:9" x14ac:dyDescent="0.25">
      <c r="A16" t="s">
        <v>133</v>
      </c>
      <c r="B16" t="s">
        <v>14</v>
      </c>
      <c r="C16">
        <v>2.7389956331194004E-3</v>
      </c>
      <c r="D16">
        <v>0</v>
      </c>
      <c r="E16">
        <v>6.9820084663225375E-3</v>
      </c>
      <c r="F16">
        <v>1.1382036451753839E-2</v>
      </c>
      <c r="G16">
        <v>1.4220268959227616E-3</v>
      </c>
      <c r="H16">
        <v>7.4477571420537075E-3</v>
      </c>
      <c r="I16">
        <v>-4.0386744669215291E-3</v>
      </c>
    </row>
    <row r="17" spans="1:9" x14ac:dyDescent="0.25">
      <c r="A17" t="s">
        <v>133</v>
      </c>
      <c r="B17" t="s">
        <v>15</v>
      </c>
      <c r="C17">
        <v>-3.9103674432899131E-3</v>
      </c>
      <c r="D17">
        <v>3.5371102178606594E-4</v>
      </c>
      <c r="E17">
        <v>-1.6259978972319483E-2</v>
      </c>
      <c r="F17">
        <v>-2.5066071909459389E-2</v>
      </c>
      <c r="G17">
        <v>-1.2005407228018003E-3</v>
      </c>
      <c r="H17">
        <v>1.2036132663990542E-3</v>
      </c>
      <c r="I17">
        <v>-3.335234941626452E-3</v>
      </c>
    </row>
    <row r="18" spans="1:9" x14ac:dyDescent="0.25">
      <c r="A18" t="s">
        <v>133</v>
      </c>
      <c r="B18" t="s">
        <v>16</v>
      </c>
      <c r="C18">
        <v>6.8414557090428424E-3</v>
      </c>
      <c r="D18">
        <v>-4.7164250373163554E-4</v>
      </c>
      <c r="E18">
        <v>3.336498478738769E-2</v>
      </c>
      <c r="F18">
        <v>7.4576469221399929E-3</v>
      </c>
      <c r="G18">
        <v>-3.7652165775999276E-3</v>
      </c>
      <c r="H18">
        <v>1.3615869431460998E-3</v>
      </c>
      <c r="I18">
        <v>4.7274036130400828E-4</v>
      </c>
    </row>
    <row r="19" spans="1:9" x14ac:dyDescent="0.25">
      <c r="A19" t="s">
        <v>133</v>
      </c>
      <c r="B19" t="s">
        <v>17</v>
      </c>
      <c r="C19">
        <v>-3.5650661644961459E-3</v>
      </c>
      <c r="D19">
        <v>3.5375273053283988E-4</v>
      </c>
      <c r="E19">
        <v>-2.0282349867096029E-2</v>
      </c>
      <c r="F19">
        <v>-1.5092271812843894E-2</v>
      </c>
      <c r="G19">
        <v>2.388522775220653E-3</v>
      </c>
      <c r="H19">
        <v>-2.8506290683402678E-3</v>
      </c>
      <c r="I19">
        <v>2.032291542882651E-3</v>
      </c>
    </row>
    <row r="20" spans="1:9" x14ac:dyDescent="0.25">
      <c r="A20" t="s">
        <v>133</v>
      </c>
      <c r="B20" t="s">
        <v>18</v>
      </c>
      <c r="C20">
        <v>2.8330991368726273E-3</v>
      </c>
      <c r="D20">
        <v>-1.1790367283585172E-4</v>
      </c>
      <c r="E20">
        <v>-7.231210875187695E-2</v>
      </c>
      <c r="F20">
        <v>-5.9162507226916052E-2</v>
      </c>
      <c r="G20">
        <v>2.7179856673406506E-3</v>
      </c>
      <c r="H20">
        <v>2.2811529709454892E-3</v>
      </c>
      <c r="I20">
        <v>-3.5894307035574247E-4</v>
      </c>
    </row>
    <row r="21" spans="1:9" x14ac:dyDescent="0.25">
      <c r="A21" t="s">
        <v>133</v>
      </c>
      <c r="B21" t="s">
        <v>19</v>
      </c>
      <c r="C21">
        <v>1.9285767765225602E-3</v>
      </c>
      <c r="D21">
        <v>0</v>
      </c>
      <c r="E21">
        <v>-2.8229035719952457E-3</v>
      </c>
      <c r="F21">
        <v>-1.4434252210059496E-3</v>
      </c>
      <c r="G21">
        <v>7.7109620156346603E-3</v>
      </c>
      <c r="H21">
        <v>1.2172832546164443E-2</v>
      </c>
      <c r="I21">
        <v>1.4349998874990855E-3</v>
      </c>
    </row>
    <row r="22" spans="1:9" x14ac:dyDescent="0.25">
      <c r="A22" t="s">
        <v>133</v>
      </c>
      <c r="B22" t="s">
        <v>20</v>
      </c>
      <c r="C22">
        <v>4.0776465855149012E-3</v>
      </c>
      <c r="D22">
        <v>-5.8972697351033262E-4</v>
      </c>
      <c r="E22">
        <v>0.14476114992526598</v>
      </c>
      <c r="F22">
        <v>0.11274737902483802</v>
      </c>
      <c r="G22">
        <v>7.179944331475763E-4</v>
      </c>
      <c r="H22">
        <v>1.397061001363189E-2</v>
      </c>
      <c r="I22">
        <v>2.0464342920692843E-3</v>
      </c>
    </row>
    <row r="23" spans="1:9" x14ac:dyDescent="0.25">
      <c r="A23" t="s">
        <v>133</v>
      </c>
      <c r="B23" t="s">
        <v>21</v>
      </c>
      <c r="C23">
        <v>5.5427393634845451E-3</v>
      </c>
      <c r="D23">
        <v>-3.5400318972562825E-4</v>
      </c>
      <c r="E23">
        <v>6.6492397129630718E-2</v>
      </c>
      <c r="F23">
        <v>6.2583789176156382E-3</v>
      </c>
      <c r="G23">
        <v>-8.0336187481838683E-3</v>
      </c>
      <c r="H23">
        <v>-9.1986711337800828E-3</v>
      </c>
      <c r="I23">
        <v>-6.8508911393980654E-4</v>
      </c>
    </row>
    <row r="24" spans="1:9" x14ac:dyDescent="0.25">
      <c r="A24" t="s">
        <v>133</v>
      </c>
      <c r="B24" t="s">
        <v>22</v>
      </c>
      <c r="C24">
        <v>-8.2286922668902264E-4</v>
      </c>
      <c r="D24">
        <v>2.3601605018694691E-4</v>
      </c>
      <c r="E24">
        <v>1.8362826077177371E-2</v>
      </c>
      <c r="F24">
        <v>4.1183586201549376E-2</v>
      </c>
      <c r="G24">
        <v>-3.4157782960593653E-3</v>
      </c>
      <c r="H24">
        <v>-3.2255830505205012E-3</v>
      </c>
      <c r="I24">
        <v>-7.5721145165381411E-4</v>
      </c>
    </row>
    <row r="25" spans="1:9" x14ac:dyDescent="0.25">
      <c r="A25" t="s">
        <v>133</v>
      </c>
      <c r="B25" t="s">
        <v>23</v>
      </c>
      <c r="C25">
        <v>3.254601225817483E-3</v>
      </c>
      <c r="D25">
        <v>5.8979653729773274E-4</v>
      </c>
      <c r="E25">
        <v>-2.3825104986553037E-2</v>
      </c>
      <c r="F25">
        <v>-3.0135049662048535E-2</v>
      </c>
      <c r="G25">
        <v>5.2296465149002849E-3</v>
      </c>
      <c r="H25">
        <v>3.5055774524617943E-3</v>
      </c>
      <c r="I25">
        <v>-4.5050580276210936E-4</v>
      </c>
    </row>
    <row r="26" spans="1:9" x14ac:dyDescent="0.25">
      <c r="A26" t="s">
        <v>133</v>
      </c>
      <c r="B26" t="s">
        <v>24</v>
      </c>
      <c r="C26">
        <v>-3.0241295810405442E-3</v>
      </c>
      <c r="D26">
        <v>1.7673053200838013E-3</v>
      </c>
      <c r="E26">
        <v>-6.6738632748355694E-4</v>
      </c>
      <c r="F26">
        <v>-3.9345170213578818E-3</v>
      </c>
      <c r="G26">
        <v>1.193861479159263E-2</v>
      </c>
      <c r="H26">
        <v>1.4728625292385543E-2</v>
      </c>
      <c r="I26">
        <v>-3.015417827590064E-3</v>
      </c>
    </row>
    <row r="27" spans="1:9" x14ac:dyDescent="0.25">
      <c r="A27" t="s">
        <v>133</v>
      </c>
      <c r="B27" t="s">
        <v>25</v>
      </c>
      <c r="C27">
        <v>9.5995495134855516E-3</v>
      </c>
      <c r="D27">
        <v>-2.2391147178426477E-3</v>
      </c>
      <c r="E27">
        <v>6.6649458670604983E-3</v>
      </c>
      <c r="F27">
        <v>1.6224736625398848E-5</v>
      </c>
      <c r="G27">
        <v>3.8978499557035967E-4</v>
      </c>
      <c r="H27">
        <v>-2.2093353366771907E-3</v>
      </c>
      <c r="I27">
        <v>-1.1614104732685718E-3</v>
      </c>
    </row>
    <row r="28" spans="1:9" x14ac:dyDescent="0.25">
      <c r="A28" t="s">
        <v>133</v>
      </c>
      <c r="B28" t="s">
        <v>26</v>
      </c>
      <c r="C28">
        <v>3.7102171051951044E-3</v>
      </c>
      <c r="D28">
        <v>-7.0813174208967603E-4</v>
      </c>
      <c r="E28">
        <v>1.622717640467701E-2</v>
      </c>
      <c r="F28">
        <v>1.2882309980403477E-2</v>
      </c>
      <c r="G28">
        <v>-2.8575416821089881E-3</v>
      </c>
      <c r="H28">
        <v>-2.2142273093093841E-3</v>
      </c>
      <c r="I28">
        <v>2.7317931789735211E-3</v>
      </c>
    </row>
    <row r="29" spans="1:9" x14ac:dyDescent="0.25">
      <c r="A29" t="s">
        <v>133</v>
      </c>
      <c r="B29" t="s">
        <v>27</v>
      </c>
      <c r="C29">
        <v>-1.2026850577742426E-3</v>
      </c>
      <c r="D29">
        <v>-7.0863354801946831E-4</v>
      </c>
      <c r="E29">
        <v>-7.473686833461687E-3</v>
      </c>
      <c r="F29">
        <v>1.5700608873311577E-2</v>
      </c>
      <c r="G29">
        <v>-1.7056059769096708E-2</v>
      </c>
      <c r="H29">
        <v>-2.5822372168806205E-2</v>
      </c>
      <c r="I29">
        <v>4.8903354950582973E-3</v>
      </c>
    </row>
    <row r="30" spans="1:9" x14ac:dyDescent="0.25">
      <c r="A30" t="s">
        <v>133</v>
      </c>
      <c r="B30" t="s">
        <v>28</v>
      </c>
      <c r="C30">
        <v>7.1528435601642831E-4</v>
      </c>
      <c r="D30">
        <v>5.9056282351830692E-4</v>
      </c>
      <c r="E30">
        <v>1.9625021559744262E-3</v>
      </c>
      <c r="F30">
        <v>1.2022632870500278E-2</v>
      </c>
      <c r="G30">
        <v>4.2762692242419836E-3</v>
      </c>
      <c r="H30">
        <v>2.0507816913637495E-3</v>
      </c>
      <c r="I30">
        <v>-3.1643147226038834E-4</v>
      </c>
    </row>
    <row r="31" spans="1:9" x14ac:dyDescent="0.25">
      <c r="A31" t="s">
        <v>133</v>
      </c>
      <c r="B31" t="s">
        <v>29</v>
      </c>
      <c r="C31">
        <v>2.7263892253287618E-3</v>
      </c>
      <c r="D31">
        <v>-1.1814746175844509E-3</v>
      </c>
      <c r="E31">
        <v>-1.0019040207042144E-2</v>
      </c>
      <c r="F31">
        <v>-1.9060534617013836E-2</v>
      </c>
      <c r="G31">
        <v>-1.5136184164690238E-2</v>
      </c>
      <c r="H31">
        <v>-2.9556702488341909E-2</v>
      </c>
      <c r="I31">
        <v>1.9480360070503386E-3</v>
      </c>
    </row>
    <row r="32" spans="1:9" x14ac:dyDescent="0.25">
      <c r="A32" t="s">
        <v>133</v>
      </c>
      <c r="B32" t="s">
        <v>30</v>
      </c>
      <c r="C32">
        <v>2.5573391727461495E-3</v>
      </c>
      <c r="D32">
        <v>1.1821029625431125E-4</v>
      </c>
      <c r="E32">
        <v>-5.1214058607090975E-2</v>
      </c>
      <c r="F32">
        <v>-2.0232794900721079E-2</v>
      </c>
      <c r="G32">
        <v>-6.4304069219734122E-3</v>
      </c>
      <c r="H32">
        <v>-1.8417443862107832E-2</v>
      </c>
      <c r="I32">
        <v>2.1374489043239132E-3</v>
      </c>
    </row>
    <row r="33" spans="1:9" x14ac:dyDescent="0.25">
      <c r="A33" t="s">
        <v>133</v>
      </c>
      <c r="B33" t="s">
        <v>31</v>
      </c>
      <c r="C33">
        <v>-1.9740787304309412E-3</v>
      </c>
      <c r="D33">
        <v>2.3637867974387808E-4</v>
      </c>
      <c r="E33">
        <v>-5.3627713714826976E-3</v>
      </c>
      <c r="F33">
        <v>6.9146715767577586E-3</v>
      </c>
      <c r="G33">
        <v>-1.8939399600707096E-3</v>
      </c>
      <c r="H33">
        <v>3.5244474191642597E-3</v>
      </c>
      <c r="I33">
        <v>-1.5568323139561529E-3</v>
      </c>
    </row>
    <row r="34" spans="1:9" x14ac:dyDescent="0.25">
      <c r="A34" t="s">
        <v>133</v>
      </c>
      <c r="B34" t="s">
        <v>32</v>
      </c>
      <c r="C34">
        <v>1.5537000600742981E-3</v>
      </c>
      <c r="D34">
        <v>1.1816839009310881E-4</v>
      </c>
      <c r="E34">
        <v>6.5865498983259567E-3</v>
      </c>
      <c r="F34">
        <v>7.2718303448064152E-3</v>
      </c>
      <c r="G34">
        <v>8.8565755560018845E-4</v>
      </c>
      <c r="H34">
        <v>-4.8411268371322449E-3</v>
      </c>
      <c r="I34">
        <v>1.1093640614805635E-3</v>
      </c>
    </row>
    <row r="35" spans="1:9" x14ac:dyDescent="0.25">
      <c r="A35" t="s">
        <v>133</v>
      </c>
      <c r="B35" t="s">
        <v>33</v>
      </c>
      <c r="C35">
        <v>7.1130657077779177E-4</v>
      </c>
      <c r="D35">
        <v>4.7253397217139175E-4</v>
      </c>
      <c r="E35">
        <v>-8.3976269007434063E-4</v>
      </c>
      <c r="F35">
        <v>7.5464262798037333E-3</v>
      </c>
      <c r="G35">
        <v>4.1090600827187506E-3</v>
      </c>
      <c r="H35">
        <v>1.06444861105311E-2</v>
      </c>
      <c r="I35">
        <v>6.5079674051382434E-4</v>
      </c>
    </row>
    <row r="36" spans="1:9" x14ac:dyDescent="0.25">
      <c r="A36" t="s">
        <v>133</v>
      </c>
      <c r="B36" t="s">
        <v>34</v>
      </c>
      <c r="C36">
        <v>8.3998324972503209E-4</v>
      </c>
      <c r="D36">
        <v>9.4439860637387791E-4</v>
      </c>
      <c r="E36">
        <v>-1.1437147021908359E-2</v>
      </c>
      <c r="F36">
        <v>-1.2072604542443511E-2</v>
      </c>
      <c r="G36">
        <v>5.4594105725122022E-3</v>
      </c>
      <c r="H36">
        <v>3.4682694319642382E-3</v>
      </c>
      <c r="I36">
        <v>-2.1370138795895129E-3</v>
      </c>
    </row>
    <row r="37" spans="1:9" x14ac:dyDescent="0.25">
      <c r="A37" t="s">
        <v>133</v>
      </c>
      <c r="B37" t="s">
        <v>35</v>
      </c>
      <c r="C37">
        <v>7.6885099913611673E-3</v>
      </c>
      <c r="D37">
        <v>-3.5404496740868043E-4</v>
      </c>
      <c r="E37">
        <v>-2.5129460519620648E-2</v>
      </c>
      <c r="F37">
        <v>-2.9896599925510321E-2</v>
      </c>
      <c r="G37">
        <v>-2.6067115424984757E-3</v>
      </c>
      <c r="H37">
        <v>-3.7278426714209365E-3</v>
      </c>
      <c r="I37">
        <v>-1.6720877459479987E-3</v>
      </c>
    </row>
    <row r="38" spans="1:9" x14ac:dyDescent="0.25">
      <c r="A38" t="s">
        <v>133</v>
      </c>
      <c r="B38" t="s">
        <v>36</v>
      </c>
      <c r="C38">
        <v>4.8057670127963216E-4</v>
      </c>
      <c r="D38">
        <v>4.720321069474027E-4</v>
      </c>
      <c r="E38">
        <v>-2.1749920627584206E-2</v>
      </c>
      <c r="F38">
        <v>2.1282798561683171E-4</v>
      </c>
      <c r="G38">
        <v>2.3687822063884496E-3</v>
      </c>
      <c r="H38">
        <v>4.2567411058698464E-3</v>
      </c>
      <c r="I38">
        <v>-2.0940490713265941E-3</v>
      </c>
    </row>
    <row r="39" spans="1:9" x14ac:dyDescent="0.25">
      <c r="A39" t="s">
        <v>133</v>
      </c>
      <c r="B39" t="s">
        <v>37</v>
      </c>
      <c r="C39">
        <v>-5.7671976222840838E-4</v>
      </c>
      <c r="D39">
        <v>-1.179871395387645E-4</v>
      </c>
      <c r="E39">
        <v>-1.2490306865641692E-2</v>
      </c>
      <c r="F39">
        <v>-1.7340815169098106E-2</v>
      </c>
      <c r="G39">
        <v>1.0396741931944309E-3</v>
      </c>
      <c r="H39">
        <v>6.7219664762455875E-3</v>
      </c>
      <c r="I39">
        <v>6.3378484104643679E-4</v>
      </c>
    </row>
    <row r="40" spans="1:9" x14ac:dyDescent="0.25">
      <c r="A40" t="s">
        <v>133</v>
      </c>
      <c r="B40" t="s">
        <v>38</v>
      </c>
      <c r="C40">
        <v>-3.7568076037567473E-3</v>
      </c>
      <c r="D40">
        <v>4.7186505535207446E-4</v>
      </c>
      <c r="E40">
        <v>-2.2039099517021186E-2</v>
      </c>
      <c r="F40">
        <v>-9.9515633147079317E-3</v>
      </c>
      <c r="G40">
        <v>-7.677595727092751E-4</v>
      </c>
      <c r="H40">
        <v>-3.3852996605319622E-4</v>
      </c>
      <c r="I40">
        <v>7.9677209384039645E-4</v>
      </c>
    </row>
    <row r="41" spans="1:9" x14ac:dyDescent="0.25">
      <c r="A41" t="s">
        <v>133</v>
      </c>
      <c r="B41" t="s">
        <v>39</v>
      </c>
      <c r="C41">
        <v>-1.6097878556848319E-3</v>
      </c>
      <c r="D41">
        <v>-4.7186505535209397E-4</v>
      </c>
      <c r="E41">
        <v>-4.9086797380835899E-2</v>
      </c>
      <c r="F41">
        <v>-8.4494251823157826E-2</v>
      </c>
      <c r="G41">
        <v>-4.6667773284052366E-3</v>
      </c>
      <c r="H41">
        <v>-1.9341518115146604E-3</v>
      </c>
      <c r="I41">
        <v>6.0226514756394885E-4</v>
      </c>
    </row>
    <row r="42" spans="1:9" x14ac:dyDescent="0.25">
      <c r="A42" t="s">
        <v>133</v>
      </c>
      <c r="B42" t="s">
        <v>40</v>
      </c>
      <c r="C42">
        <v>2.1886776898222679E-3</v>
      </c>
      <c r="D42">
        <v>-1.770068152244981E-4</v>
      </c>
      <c r="E42">
        <v>-4.6352066861002801E-2</v>
      </c>
      <c r="F42">
        <v>-7.1852809779159879E-2</v>
      </c>
      <c r="G42">
        <v>-1.441902193653598E-3</v>
      </c>
      <c r="H42">
        <v>-5.4485500279700524E-3</v>
      </c>
      <c r="I42">
        <v>2.8227448263341407E-3</v>
      </c>
    </row>
    <row r="43" spans="1:9" x14ac:dyDescent="0.25">
      <c r="A43" t="s">
        <v>133</v>
      </c>
      <c r="B43" t="s">
        <v>41</v>
      </c>
      <c r="C43">
        <v>7.4633188080918383E-3</v>
      </c>
      <c r="D43">
        <v>1.770068152244669E-4</v>
      </c>
      <c r="E43">
        <v>-2.0833914497977005E-2</v>
      </c>
      <c r="F43">
        <v>-2.5556254674114594E-2</v>
      </c>
      <c r="G43">
        <v>-5.0184182161011398E-3</v>
      </c>
      <c r="H43">
        <v>-6.1468229570687347E-3</v>
      </c>
      <c r="I43">
        <v>5.3918502982317417E-4</v>
      </c>
    </row>
    <row r="44" spans="1:9" x14ac:dyDescent="0.25">
      <c r="A44" t="s">
        <v>133</v>
      </c>
      <c r="B44" t="s">
        <v>42</v>
      </c>
      <c r="C44">
        <v>2.1995195428139666E-3</v>
      </c>
      <c r="D44">
        <v>4.7186505535207446E-4</v>
      </c>
      <c r="E44">
        <v>1.0057853015302423E-2</v>
      </c>
      <c r="F44">
        <v>1.6846573557180413E-2</v>
      </c>
      <c r="G44">
        <v>4.546444227470311E-3</v>
      </c>
      <c r="H44">
        <v>9.903577786278539E-3</v>
      </c>
      <c r="I44">
        <v>-7.2237062787668571E-4</v>
      </c>
    </row>
    <row r="45" spans="1:9" x14ac:dyDescent="0.25">
      <c r="A45" t="s">
        <v>133</v>
      </c>
      <c r="B45" t="s">
        <v>43</v>
      </c>
      <c r="C45">
        <v>4.1626345040203664E-3</v>
      </c>
      <c r="D45">
        <v>-5.8986611749862724E-4</v>
      </c>
      <c r="E45">
        <v>4.2486602451168087E-2</v>
      </c>
      <c r="F45">
        <v>2.6795063405248631E-2</v>
      </c>
      <c r="G45">
        <v>-4.9726606693783768E-3</v>
      </c>
      <c r="H45">
        <v>-7.421424367776033E-3</v>
      </c>
      <c r="I45">
        <v>1.200272748384742E-3</v>
      </c>
    </row>
    <row r="46" spans="1:9" x14ac:dyDescent="0.25">
      <c r="A46" t="s">
        <v>133</v>
      </c>
      <c r="B46" t="s">
        <v>44</v>
      </c>
      <c r="C46">
        <v>-4.0034368598091345E-3</v>
      </c>
      <c r="D46">
        <v>3.5396142190107101E-4</v>
      </c>
      <c r="E46">
        <v>3.0026626361812518E-2</v>
      </c>
      <c r="F46">
        <v>1.4878539388899423E-2</v>
      </c>
      <c r="G46">
        <v>7.1596489658825192E-3</v>
      </c>
      <c r="H46">
        <v>4.6051821872504428E-3</v>
      </c>
      <c r="I46">
        <v>-9.8655947953921706E-4</v>
      </c>
    </row>
    <row r="47" spans="1:9" x14ac:dyDescent="0.25">
      <c r="A47" t="s">
        <v>133</v>
      </c>
      <c r="B47" t="s">
        <v>45</v>
      </c>
      <c r="C47">
        <v>-8.6652606982309567E-3</v>
      </c>
      <c r="D47">
        <v>-1.8892436839046118E-3</v>
      </c>
      <c r="E47">
        <v>-5.8260688154822909E-2</v>
      </c>
      <c r="F47">
        <v>-4.1042200980687622E-2</v>
      </c>
      <c r="G47">
        <v>-1.6124407368895909E-3</v>
      </c>
      <c r="H47">
        <v>-7.1050874526852621E-3</v>
      </c>
      <c r="I47">
        <v>-4.2523097385303915E-3</v>
      </c>
    </row>
    <row r="48" spans="1:9" x14ac:dyDescent="0.25">
      <c r="A48" t="s">
        <v>133</v>
      </c>
      <c r="B48" t="s">
        <v>46</v>
      </c>
      <c r="C48">
        <v>-6.669806105535349E-3</v>
      </c>
      <c r="D48">
        <v>1.4172672739632703E-3</v>
      </c>
      <c r="E48">
        <v>-2.5169064597815687E-4</v>
      </c>
      <c r="F48">
        <v>-7.4254864795966231E-3</v>
      </c>
      <c r="G48">
        <v>1.0136899760795915E-2</v>
      </c>
      <c r="H48">
        <v>1.5361158876894519E-2</v>
      </c>
      <c r="I48">
        <v>-1.2168126127514024E-3</v>
      </c>
    </row>
    <row r="49" spans="1:9" x14ac:dyDescent="0.25">
      <c r="A49" t="s">
        <v>133</v>
      </c>
      <c r="B49" t="s">
        <v>47</v>
      </c>
      <c r="C49">
        <v>6.3164889354635359E-3</v>
      </c>
      <c r="D49">
        <v>-4.7219927686513636E-4</v>
      </c>
      <c r="E49">
        <v>-9.3481384362003473E-3</v>
      </c>
      <c r="F49">
        <v>-8.2026952359634253E-3</v>
      </c>
      <c r="G49">
        <v>-2.0259587034591377E-3</v>
      </c>
      <c r="H49">
        <v>-2.0076540024635277E-2</v>
      </c>
      <c r="I49">
        <v>-9.1102189170651042E-4</v>
      </c>
    </row>
    <row r="50" spans="1:9" x14ac:dyDescent="0.25">
      <c r="A50" t="s">
        <v>133</v>
      </c>
      <c r="B50" t="s">
        <v>48</v>
      </c>
      <c r="C50">
        <v>1.4766783846067806E-3</v>
      </c>
      <c r="D50">
        <v>-4.7242235436324162E-4</v>
      </c>
      <c r="E50">
        <v>2.6704766100005554E-2</v>
      </c>
      <c r="F50">
        <v>1.6900972454646883E-2</v>
      </c>
      <c r="G50">
        <v>9.1523878865586432E-4</v>
      </c>
      <c r="H50">
        <v>7.6047795459064675E-3</v>
      </c>
      <c r="I50">
        <v>-2.4403010192748254E-3</v>
      </c>
    </row>
    <row r="51" spans="1:9" x14ac:dyDescent="0.25">
      <c r="A51" t="s">
        <v>133</v>
      </c>
      <c r="B51" t="s">
        <v>49</v>
      </c>
      <c r="C51">
        <v>9.1006966626516438E-3</v>
      </c>
      <c r="D51">
        <v>-3.544632872229304E-4</v>
      </c>
      <c r="E51">
        <v>1.3162867568884736E-2</v>
      </c>
      <c r="F51">
        <v>-3.6554207507552111E-4</v>
      </c>
      <c r="G51">
        <v>-1.0860414841124029E-2</v>
      </c>
      <c r="H51">
        <v>-2.3183285133594814E-2</v>
      </c>
      <c r="I51">
        <v>2.9726842658728816E-3</v>
      </c>
    </row>
    <row r="52" spans="1:9" x14ac:dyDescent="0.25">
      <c r="A52" t="s">
        <v>133</v>
      </c>
      <c r="B52" t="s">
        <v>50</v>
      </c>
      <c r="C52">
        <v>-3.151915247303713E-3</v>
      </c>
      <c r="D52">
        <v>0</v>
      </c>
      <c r="E52">
        <v>-1.9548168353130835E-2</v>
      </c>
      <c r="F52">
        <v>-6.5179454923937107E-3</v>
      </c>
      <c r="G52">
        <v>1.5264827127711015E-3</v>
      </c>
      <c r="H52">
        <v>2.4727855548252746E-3</v>
      </c>
      <c r="I52">
        <v>-5.7334754621656144E-4</v>
      </c>
    </row>
    <row r="53" spans="1:9" x14ac:dyDescent="0.25">
      <c r="A53" t="s">
        <v>133</v>
      </c>
      <c r="B53" t="s">
        <v>51</v>
      </c>
      <c r="C53">
        <v>-1.1166947000750686E-3</v>
      </c>
      <c r="D53">
        <v>-4.7281324757900205E-4</v>
      </c>
      <c r="E53">
        <v>-1.6728970061524288E-2</v>
      </c>
      <c r="F53">
        <v>-1.3298494895653252E-2</v>
      </c>
      <c r="G53">
        <v>1.5173265162475953E-3</v>
      </c>
      <c r="H53">
        <v>3.21751566835397E-3</v>
      </c>
      <c r="I53">
        <v>-2.3685395345165966E-3</v>
      </c>
    </row>
    <row r="54" spans="1:9" x14ac:dyDescent="0.25">
      <c r="A54" t="s">
        <v>133</v>
      </c>
      <c r="B54" t="s">
        <v>52</v>
      </c>
      <c r="C54">
        <v>2.9008164935763739E-3</v>
      </c>
      <c r="D54">
        <v>8.2727653480192903E-4</v>
      </c>
      <c r="E54">
        <v>-8.3740231663729185E-3</v>
      </c>
      <c r="F54">
        <v>-1.8346679464213658E-2</v>
      </c>
      <c r="G54">
        <v>7.2404418300889709E-3</v>
      </c>
      <c r="H54">
        <v>1.1818563565163812E-2</v>
      </c>
      <c r="I54">
        <v>-3.4448928875374899E-3</v>
      </c>
    </row>
    <row r="55" spans="1:9" x14ac:dyDescent="0.25">
      <c r="A55" t="s">
        <v>133</v>
      </c>
      <c r="B55" t="s">
        <v>53</v>
      </c>
      <c r="C55">
        <v>8.5576256771426606E-3</v>
      </c>
      <c r="D55">
        <v>-9.4551478501362881E-4</v>
      </c>
      <c r="E55">
        <v>3.5555015828312576E-3</v>
      </c>
      <c r="F55">
        <v>1.3803326448649799E-2</v>
      </c>
      <c r="G55">
        <v>-3.6817192130948868E-3</v>
      </c>
      <c r="H55">
        <v>4.3400712917978229E-3</v>
      </c>
      <c r="I55">
        <v>3.2806302723126994E-3</v>
      </c>
    </row>
    <row r="56" spans="1:9" x14ac:dyDescent="0.25">
      <c r="A56" t="s">
        <v>133</v>
      </c>
      <c r="B56" t="s">
        <v>54</v>
      </c>
      <c r="C56">
        <v>6.3117366764606355E-5</v>
      </c>
      <c r="D56">
        <v>1.1817538600549882E-3</v>
      </c>
      <c r="E56">
        <v>3.6588654833210141E-3</v>
      </c>
      <c r="F56">
        <v>-4.5381007201815097E-3</v>
      </c>
      <c r="G56">
        <v>4.3324211129227705E-3</v>
      </c>
      <c r="H56">
        <v>3.4851953391247694E-4</v>
      </c>
      <c r="I56">
        <v>-2.3128052289421441E-3</v>
      </c>
    </row>
    <row r="57" spans="1:9" x14ac:dyDescent="0.25">
      <c r="A57" t="s">
        <v>133</v>
      </c>
      <c r="B57" t="s">
        <v>55</v>
      </c>
      <c r="C57">
        <v>7.1067246686200769E-3</v>
      </c>
      <c r="D57">
        <v>-5.907023622643584E-4</v>
      </c>
      <c r="E57">
        <v>-4.7495231453357517E-2</v>
      </c>
      <c r="F57">
        <v>-8.1397309233209467E-2</v>
      </c>
      <c r="G57">
        <v>2.980969243567208E-4</v>
      </c>
      <c r="H57">
        <v>5.8358649249339676E-3</v>
      </c>
      <c r="I57">
        <v>-1.575768513049853E-3</v>
      </c>
    </row>
    <row r="58" spans="1:9" x14ac:dyDescent="0.25">
      <c r="A58" t="s">
        <v>133</v>
      </c>
      <c r="B58" t="s">
        <v>56</v>
      </c>
      <c r="C58">
        <v>3.4461693036749724E-4</v>
      </c>
      <c r="D58">
        <v>2.3632281806788724E-4</v>
      </c>
      <c r="E58">
        <v>-4.302811199342476E-2</v>
      </c>
      <c r="F58">
        <v>-8.5996533494827568E-2</v>
      </c>
      <c r="G58">
        <v>1.3546923175792035E-4</v>
      </c>
      <c r="H58">
        <v>-1.7042486920846292E-3</v>
      </c>
      <c r="I58">
        <v>2.0901876937097865E-3</v>
      </c>
    </row>
    <row r="59" spans="1:9" x14ac:dyDescent="0.25">
      <c r="A59" t="s">
        <v>133</v>
      </c>
      <c r="B59" t="s">
        <v>57</v>
      </c>
      <c r="C59">
        <v>-4.3862398096546095E-4</v>
      </c>
      <c r="D59">
        <v>1.181404691551414E-4</v>
      </c>
      <c r="E59">
        <v>9.1502028081338393E-2</v>
      </c>
      <c r="F59">
        <v>8.2083342161437325E-2</v>
      </c>
      <c r="G59">
        <v>-6.8430736877951853E-4</v>
      </c>
      <c r="H59">
        <v>2.8228320249553318E-4</v>
      </c>
      <c r="I59">
        <v>1.8291873439924735E-3</v>
      </c>
    </row>
    <row r="60" spans="1:9" x14ac:dyDescent="0.25">
      <c r="A60" t="s">
        <v>133</v>
      </c>
      <c r="B60" t="s">
        <v>58</v>
      </c>
      <c r="C60">
        <v>4.4712026337462782E-3</v>
      </c>
      <c r="D60">
        <v>-1.4186076383081248E-3</v>
      </c>
      <c r="E60">
        <v>-1.0215587344711577E-2</v>
      </c>
      <c r="F60">
        <v>-2.8743388490005697E-2</v>
      </c>
      <c r="G60">
        <v>2.5113480718974087E-3</v>
      </c>
      <c r="H60">
        <v>2.9298587442382036E-3</v>
      </c>
      <c r="I60">
        <v>-2.156289957476646E-4</v>
      </c>
    </row>
    <row r="61" spans="1:9" x14ac:dyDescent="0.25">
      <c r="A61" t="s">
        <v>133</v>
      </c>
      <c r="B61" t="s">
        <v>59</v>
      </c>
      <c r="C61">
        <v>4.917073361914737E-3</v>
      </c>
      <c r="D61">
        <v>0</v>
      </c>
      <c r="E61">
        <v>2.2150056025622626E-3</v>
      </c>
      <c r="F61">
        <v>-1.9744022823642952E-3</v>
      </c>
      <c r="G61">
        <v>-6.424670956614979E-4</v>
      </c>
      <c r="H61">
        <v>7.9418794611038675E-3</v>
      </c>
      <c r="I61">
        <v>3.188618012109391E-3</v>
      </c>
    </row>
    <row r="62" spans="1:9" x14ac:dyDescent="0.25">
      <c r="A62" t="s">
        <v>133</v>
      </c>
      <c r="B62" t="s">
        <v>60</v>
      </c>
      <c r="C62">
        <v>8.688637051291494E-4</v>
      </c>
      <c r="D62">
        <v>-2.3663038444527825E-4</v>
      </c>
      <c r="E62">
        <v>1.8774766641929085E-2</v>
      </c>
      <c r="F62">
        <v>-3.5079263499366419E-3</v>
      </c>
      <c r="G62">
        <v>4.9397479415537824E-3</v>
      </c>
      <c r="H62">
        <v>1.3283492397805463E-2</v>
      </c>
      <c r="I62">
        <v>-3.2762045463710757E-4</v>
      </c>
    </row>
    <row r="63" spans="1:9" x14ac:dyDescent="0.25">
      <c r="A63" t="s">
        <v>133</v>
      </c>
      <c r="B63" t="s">
        <v>61</v>
      </c>
      <c r="C63">
        <v>-1.8612153790119857E-4</v>
      </c>
      <c r="D63">
        <v>1.1832219146483563E-4</v>
      </c>
      <c r="E63">
        <v>-4.5095382881891362E-3</v>
      </c>
      <c r="F63">
        <v>3.4912135890969994E-3</v>
      </c>
      <c r="G63">
        <v>9.4068524339906492E-3</v>
      </c>
      <c r="H63">
        <v>2.0598670790759097E-2</v>
      </c>
      <c r="I63">
        <v>-4.096010486364089E-5</v>
      </c>
    </row>
    <row r="64" spans="1:9" x14ac:dyDescent="0.25">
      <c r="A64" t="s">
        <v>133</v>
      </c>
      <c r="B64" t="s">
        <v>62</v>
      </c>
      <c r="C64">
        <v>5.1057620239174217E-3</v>
      </c>
      <c r="D64">
        <v>3.5488259673333456E-4</v>
      </c>
      <c r="E64">
        <v>-1.1477712357131341E-2</v>
      </c>
      <c r="F64">
        <v>-2.1162921664128566E-2</v>
      </c>
      <c r="G64">
        <v>7.9638826681903974E-3</v>
      </c>
      <c r="H64">
        <v>5.6796512779090386E-3</v>
      </c>
      <c r="I64">
        <v>-1.2295839408032457E-3</v>
      </c>
    </row>
    <row r="65" spans="1:9" x14ac:dyDescent="0.25">
      <c r="A65" t="s">
        <v>133</v>
      </c>
      <c r="B65" t="s">
        <v>63</v>
      </c>
      <c r="C65">
        <v>3.0864673839874769E-5</v>
      </c>
      <c r="D65">
        <v>7.0938759182020939E-4</v>
      </c>
      <c r="E65">
        <v>7.0371682229647316E-3</v>
      </c>
      <c r="F65">
        <v>6.7308559105414964E-3</v>
      </c>
      <c r="G65">
        <v>-5.8235338583550306E-4</v>
      </c>
      <c r="H65">
        <v>-7.441111775506843E-3</v>
      </c>
      <c r="I65">
        <v>-6.3254570573172001E-3</v>
      </c>
    </row>
    <row r="66" spans="1:9" x14ac:dyDescent="0.25">
      <c r="A66" t="s">
        <v>133</v>
      </c>
      <c r="B66" t="s">
        <v>64</v>
      </c>
      <c r="C66">
        <v>-5.788325015545364E-3</v>
      </c>
      <c r="D66">
        <v>3.5450517357980349E-4</v>
      </c>
      <c r="E66">
        <v>3.986207470293374E-4</v>
      </c>
      <c r="F66">
        <v>4.1714091822487052E-2</v>
      </c>
      <c r="G66">
        <v>3.0073819136279913E-3</v>
      </c>
      <c r="H66">
        <v>9.0946418236194562E-3</v>
      </c>
      <c r="I66">
        <v>-1.8486107123927861E-3</v>
      </c>
    </row>
    <row r="67" spans="1:9" x14ac:dyDescent="0.25">
      <c r="A67" t="s">
        <v>133</v>
      </c>
      <c r="B67" t="s">
        <v>65</v>
      </c>
      <c r="C67">
        <v>2.9447797973115408E-3</v>
      </c>
      <c r="D67">
        <v>-1.1815442797471133E-4</v>
      </c>
      <c r="E67">
        <v>-1.3722709258663236E-2</v>
      </c>
      <c r="F67">
        <v>-2.305302929012628E-2</v>
      </c>
      <c r="G67">
        <v>1.4311107398319301E-3</v>
      </c>
      <c r="H67">
        <v>-4.806154851391191E-3</v>
      </c>
      <c r="I67">
        <v>-3.6348801729544863E-3</v>
      </c>
    </row>
    <row r="68" spans="1:9" x14ac:dyDescent="0.25">
      <c r="A68" t="s">
        <v>133</v>
      </c>
      <c r="B68" t="s">
        <v>66</v>
      </c>
      <c r="C68">
        <v>8.3223363553633981E-3</v>
      </c>
      <c r="D68">
        <v>4.7253397217139175E-4</v>
      </c>
      <c r="E68">
        <v>-2.9359322249918551E-2</v>
      </c>
      <c r="F68">
        <v>-1.712490789518999E-2</v>
      </c>
      <c r="G68">
        <v>7.5829311627500506E-3</v>
      </c>
      <c r="H68">
        <v>1.0216839097068223E-2</v>
      </c>
      <c r="I68">
        <v>4.7300007973149543E-3</v>
      </c>
    </row>
    <row r="69" spans="1:9" x14ac:dyDescent="0.25">
      <c r="A69" t="s">
        <v>133</v>
      </c>
      <c r="B69" t="s">
        <v>67</v>
      </c>
      <c r="C69">
        <v>-7.0850187018376308E-3</v>
      </c>
      <c r="D69">
        <v>8.263975442272764E-4</v>
      </c>
      <c r="E69">
        <v>5.0171763839507687E-2</v>
      </c>
      <c r="F69">
        <v>5.1708751640955751E-2</v>
      </c>
      <c r="G69">
        <v>1.4744196021915091E-2</v>
      </c>
      <c r="H69">
        <v>1.1762292117718071E-3</v>
      </c>
      <c r="I69">
        <v>-8.2608785491359435E-5</v>
      </c>
    </row>
    <row r="70" spans="1:9" x14ac:dyDescent="0.25">
      <c r="A70" t="s">
        <v>133</v>
      </c>
      <c r="B70" t="s">
        <v>68</v>
      </c>
      <c r="C70">
        <v>3.5487840240456207E-3</v>
      </c>
      <c r="D70">
        <v>-3.5408675495363973E-4</v>
      </c>
      <c r="E70">
        <v>5.6165608137584998E-2</v>
      </c>
      <c r="F70">
        <v>7.2802834537449165E-2</v>
      </c>
      <c r="G70">
        <v>9.1801735935517874E-3</v>
      </c>
      <c r="H70">
        <v>5.9762400515493289E-3</v>
      </c>
      <c r="I70">
        <v>-1.7260183398154379E-3</v>
      </c>
    </row>
    <row r="71" spans="1:9" x14ac:dyDescent="0.25">
      <c r="A71" t="s">
        <v>133</v>
      </c>
      <c r="B71" t="s">
        <v>69</v>
      </c>
      <c r="C71">
        <v>-2.8071276241659342E-3</v>
      </c>
      <c r="D71">
        <v>0</v>
      </c>
      <c r="E71">
        <v>4.9526897407857685E-2</v>
      </c>
      <c r="F71">
        <v>-5.2816537795558026E-3</v>
      </c>
      <c r="G71">
        <v>5.1147422766515474E-3</v>
      </c>
      <c r="H71">
        <v>1.3413907200102711E-2</v>
      </c>
      <c r="I71">
        <v>3.4490626727750372E-3</v>
      </c>
    </row>
    <row r="72" spans="1:9" x14ac:dyDescent="0.25">
      <c r="A72" t="s">
        <v>133</v>
      </c>
      <c r="B72" t="s">
        <v>70</v>
      </c>
      <c r="C72">
        <v>4.8996292339100979E-3</v>
      </c>
      <c r="D72">
        <v>-4.7231078927364436E-4</v>
      </c>
      <c r="E72">
        <v>-1.0321657650373317E-2</v>
      </c>
      <c r="F72">
        <v>-1.6052639677926278E-2</v>
      </c>
      <c r="G72">
        <v>-1.1617486403614001E-2</v>
      </c>
      <c r="H72">
        <v>-1.6687846992135331E-2</v>
      </c>
      <c r="I72">
        <v>3.0261880801879526E-3</v>
      </c>
    </row>
    <row r="73" spans="1:9" x14ac:dyDescent="0.25">
      <c r="A73" t="s">
        <v>133</v>
      </c>
      <c r="B73" t="s">
        <v>71</v>
      </c>
      <c r="C73">
        <v>6.6178739646443763E-3</v>
      </c>
      <c r="D73">
        <v>1.1809861247868839E-4</v>
      </c>
      <c r="E73">
        <v>-2.5164819251183034E-2</v>
      </c>
      <c r="F73">
        <v>-1.6264699562599006E-2</v>
      </c>
      <c r="G73">
        <v>-2.2135149216363568E-3</v>
      </c>
      <c r="H73">
        <v>-1.0260889990700425E-2</v>
      </c>
      <c r="I73">
        <v>1.550714306716155E-3</v>
      </c>
    </row>
    <row r="74" spans="1:9" x14ac:dyDescent="0.25">
      <c r="A74" t="s">
        <v>133</v>
      </c>
      <c r="B74" t="s">
        <v>72</v>
      </c>
      <c r="C74">
        <v>-2.8746197165215388E-3</v>
      </c>
      <c r="D74">
        <v>2.3615539134423419E-4</v>
      </c>
      <c r="E74">
        <v>3.5836980000252268E-2</v>
      </c>
      <c r="F74">
        <v>3.5237491035725078E-2</v>
      </c>
      <c r="G74">
        <v>6.363497305542096E-3</v>
      </c>
      <c r="H74">
        <v>1.0736359110751763E-2</v>
      </c>
      <c r="I74">
        <v>-9.6506275264165802E-4</v>
      </c>
    </row>
    <row r="75" spans="1:9" x14ac:dyDescent="0.25">
      <c r="A75" t="s">
        <v>133</v>
      </c>
      <c r="B75" t="s">
        <v>73</v>
      </c>
      <c r="C75">
        <v>6.9582482353100234E-3</v>
      </c>
      <c r="D75">
        <v>-1.1807072450113539E-4</v>
      </c>
      <c r="E75">
        <v>-2.7417057825378189E-3</v>
      </c>
      <c r="F75">
        <v>1.8238638140572669E-3</v>
      </c>
      <c r="G75">
        <v>-8.9887378745148339E-3</v>
      </c>
      <c r="H75">
        <v>-7.0946477778086204E-3</v>
      </c>
      <c r="I75">
        <v>-1.1299377005460761E-4</v>
      </c>
    </row>
    <row r="76" spans="1:9" x14ac:dyDescent="0.25">
      <c r="A76" t="s">
        <v>133</v>
      </c>
      <c r="B76" t="s">
        <v>74</v>
      </c>
      <c r="C76">
        <v>-1.4913338024940121E-3</v>
      </c>
      <c r="D76">
        <v>1.1807072450117696E-4</v>
      </c>
      <c r="E76">
        <v>8.0596458901553633E-2</v>
      </c>
      <c r="F76">
        <v>0.14033321572554708</v>
      </c>
      <c r="G76">
        <v>-1.2473060133843753E-3</v>
      </c>
      <c r="H76">
        <v>-9.7951975390966426E-3</v>
      </c>
      <c r="I76">
        <v>2.7732555630006079E-4</v>
      </c>
    </row>
    <row r="77" spans="1:9" x14ac:dyDescent="0.25">
      <c r="A77" t="s">
        <v>133</v>
      </c>
      <c r="B77" t="s">
        <v>75</v>
      </c>
      <c r="C77">
        <v>1.8562196276876845E-3</v>
      </c>
      <c r="D77">
        <v>4.7214354040430974E-4</v>
      </c>
      <c r="E77">
        <v>-2.3537766343372036E-3</v>
      </c>
      <c r="F77">
        <v>1.6576647890978312E-3</v>
      </c>
      <c r="G77">
        <v>6.3302774435106315E-3</v>
      </c>
      <c r="H77">
        <v>1.1280416548120542E-2</v>
      </c>
      <c r="I77">
        <v>-1.4696741099922896E-3</v>
      </c>
    </row>
    <row r="78" spans="1:9" x14ac:dyDescent="0.25">
      <c r="A78" t="s">
        <v>133</v>
      </c>
      <c r="B78" t="s">
        <v>76</v>
      </c>
      <c r="C78">
        <v>8.3256865174318826E-3</v>
      </c>
      <c r="D78">
        <v>0</v>
      </c>
      <c r="E78">
        <v>-9.4947353923133578E-3</v>
      </c>
      <c r="F78">
        <v>-1.1128689510333661E-2</v>
      </c>
      <c r="G78">
        <v>-2.1872133982457852E-3</v>
      </c>
      <c r="H78">
        <v>-2.777539907234E-3</v>
      </c>
      <c r="I78">
        <v>9.3549703814040943E-4</v>
      </c>
    </row>
    <row r="79" spans="1:9" x14ac:dyDescent="0.25">
      <c r="A79" t="s">
        <v>133</v>
      </c>
      <c r="B79" t="s">
        <v>77</v>
      </c>
      <c r="C79">
        <v>3.8517139578548073E-3</v>
      </c>
      <c r="D79">
        <v>3.5396142190107101E-4</v>
      </c>
      <c r="E79">
        <v>2.3255335062577057E-2</v>
      </c>
      <c r="F79">
        <v>3.8128128876137625E-2</v>
      </c>
      <c r="G79">
        <v>2.4570669079789242E-3</v>
      </c>
      <c r="H79">
        <v>3.2054520083931674E-3</v>
      </c>
      <c r="I79">
        <v>2.9344490240255086E-3</v>
      </c>
    </row>
    <row r="80" spans="1:9" x14ac:dyDescent="0.25">
      <c r="A80" t="s">
        <v>133</v>
      </c>
      <c r="B80" t="s">
        <v>78</v>
      </c>
      <c r="C80">
        <v>-2.6464589005408593E-3</v>
      </c>
      <c r="D80">
        <v>2.3590469559767746E-4</v>
      </c>
      <c r="E80">
        <v>-2.0724202986603803E-2</v>
      </c>
      <c r="F80">
        <v>-6.3604725890250907E-3</v>
      </c>
      <c r="G80">
        <v>9.0540455612494509E-4</v>
      </c>
      <c r="H80">
        <v>-1.2641941009280599E-2</v>
      </c>
      <c r="I80">
        <v>-7.6869075257914835E-4</v>
      </c>
    </row>
    <row r="81" spans="1:9" x14ac:dyDescent="0.25">
      <c r="A81" t="s">
        <v>133</v>
      </c>
      <c r="B81" t="s">
        <v>79</v>
      </c>
      <c r="C81">
        <v>3.0108692606949431E-4</v>
      </c>
      <c r="D81">
        <v>1.768920078906333E-4</v>
      </c>
      <c r="E81">
        <v>-7.461973125666173E-3</v>
      </c>
      <c r="F81">
        <v>-8.302048916788719E-3</v>
      </c>
      <c r="G81">
        <v>5.7107475893758647E-4</v>
      </c>
      <c r="H81">
        <v>2.5793704119013538E-3</v>
      </c>
      <c r="I81">
        <v>-4.1013442161491355E-5</v>
      </c>
    </row>
    <row r="82" spans="1:9" x14ac:dyDescent="0.25">
      <c r="A82" t="s">
        <v>133</v>
      </c>
      <c r="B82" t="s">
        <v>80</v>
      </c>
      <c r="C82">
        <v>1.1132340595772449E-3</v>
      </c>
      <c r="D82">
        <v>4.1262637267935583E-4</v>
      </c>
      <c r="E82">
        <v>-3.2115322613233049E-2</v>
      </c>
      <c r="F82">
        <v>-3.2401597932906527E-2</v>
      </c>
      <c r="G82">
        <v>2.8313024960671652E-3</v>
      </c>
      <c r="H82">
        <v>-1.9100056365567292E-3</v>
      </c>
      <c r="I82">
        <v>1.7006458355568279E-3</v>
      </c>
    </row>
    <row r="83" spans="1:9" x14ac:dyDescent="0.25">
      <c r="A83" t="s">
        <v>133</v>
      </c>
      <c r="B83" t="s">
        <v>81</v>
      </c>
      <c r="C83">
        <v>-9.0621372317013071E-3</v>
      </c>
      <c r="D83">
        <v>3.535442851039067E-4</v>
      </c>
      <c r="E83">
        <v>4.6188461397645326E-3</v>
      </c>
      <c r="F83">
        <v>7.5234392357698945E-4</v>
      </c>
      <c r="G83">
        <v>4.6713848278007826E-3</v>
      </c>
      <c r="H83">
        <v>1.6617791653279416E-2</v>
      </c>
      <c r="I83">
        <v>1.636443964141272E-3</v>
      </c>
    </row>
    <row r="84" spans="1:9" x14ac:dyDescent="0.25">
      <c r="A84" t="s">
        <v>133</v>
      </c>
      <c r="B84" t="s">
        <v>82</v>
      </c>
      <c r="C84">
        <v>-1.587407742237237E-2</v>
      </c>
      <c r="D84">
        <v>1.0598835120430306E-3</v>
      </c>
      <c r="E84">
        <v>5.352797331884853E-2</v>
      </c>
      <c r="F84">
        <v>4.7195168497983955E-2</v>
      </c>
      <c r="G84">
        <v>7.1687168639729629E-3</v>
      </c>
      <c r="H84">
        <v>9.9541555916653058E-5</v>
      </c>
      <c r="I84">
        <v>1.0520457129144991E-3</v>
      </c>
    </row>
    <row r="85" spans="1:9" x14ac:dyDescent="0.25">
      <c r="A85" t="s">
        <v>133</v>
      </c>
      <c r="B85" t="s">
        <v>83</v>
      </c>
      <c r="C85">
        <v>1.0000390100128683E-2</v>
      </c>
      <c r="D85">
        <v>-4.709206585733057E-4</v>
      </c>
      <c r="E85">
        <v>4.914072504424849E-2</v>
      </c>
      <c r="F85">
        <v>3.1326553217945662E-2</v>
      </c>
      <c r="G85">
        <v>-9.9804207524337319E-3</v>
      </c>
      <c r="H85">
        <v>-3.6582715510867024E-2</v>
      </c>
      <c r="I85">
        <v>6.3273701683382337E-4</v>
      </c>
    </row>
    <row r="86" spans="1:9" x14ac:dyDescent="0.25">
      <c r="A86" t="s">
        <v>133</v>
      </c>
      <c r="B86" t="s">
        <v>84</v>
      </c>
      <c r="C86">
        <v>-8.5501409874741332E-4</v>
      </c>
      <c r="D86">
        <v>9.4161965526105102E-4</v>
      </c>
      <c r="E86">
        <v>-4.4937498560553837E-3</v>
      </c>
      <c r="F86">
        <v>-7.5123006454544689E-3</v>
      </c>
      <c r="G86">
        <v>6.9225564040086016E-3</v>
      </c>
      <c r="H86">
        <v>6.0558938218364475E-3</v>
      </c>
      <c r="I86">
        <v>-2.7549755542628557E-4</v>
      </c>
    </row>
    <row r="87" spans="1:9" x14ac:dyDescent="0.25">
      <c r="A87" t="s">
        <v>133</v>
      </c>
      <c r="B87" t="s">
        <v>85</v>
      </c>
      <c r="C87">
        <v>3.14163531794209E-3</v>
      </c>
      <c r="D87">
        <v>1.176401389510605E-4</v>
      </c>
      <c r="E87">
        <v>2.0437122816991695E-2</v>
      </c>
      <c r="F87">
        <v>5.3607745666778138E-2</v>
      </c>
      <c r="G87">
        <v>-1.8404874235214829E-3</v>
      </c>
      <c r="H87">
        <v>1.6106668004385542E-2</v>
      </c>
      <c r="I87">
        <v>-1.2662236576260362E-3</v>
      </c>
    </row>
    <row r="88" spans="1:9" x14ac:dyDescent="0.25">
      <c r="A88" t="s">
        <v>133</v>
      </c>
      <c r="B88" t="s">
        <v>86</v>
      </c>
      <c r="C88">
        <v>-1.7882858417429252E-2</v>
      </c>
      <c r="D88">
        <v>1.2931289640668198E-3</v>
      </c>
      <c r="E88">
        <v>-1.6805086658398017E-2</v>
      </c>
      <c r="F88">
        <v>-2.4835005900639955E-2</v>
      </c>
      <c r="G88">
        <v>1.0099882973775894E-2</v>
      </c>
      <c r="H88">
        <v>1.1512780481687161E-2</v>
      </c>
      <c r="I88">
        <v>-4.8858780878929626E-3</v>
      </c>
    </row>
    <row r="89" spans="1:9" x14ac:dyDescent="0.25">
      <c r="A89" t="s">
        <v>133</v>
      </c>
      <c r="B89" t="s">
        <v>87</v>
      </c>
      <c r="C89">
        <v>7.2285005219912902E-3</v>
      </c>
      <c r="D89">
        <v>-1.8814680997057312E-3</v>
      </c>
      <c r="E89">
        <v>-6.1154580020010294E-3</v>
      </c>
      <c r="F89">
        <v>5.2467308717374213E-2</v>
      </c>
      <c r="G89">
        <v>-8.6843108114222807E-3</v>
      </c>
      <c r="H89">
        <v>-2.0999485509042529E-2</v>
      </c>
      <c r="I89">
        <v>4.2010410676636967E-3</v>
      </c>
    </row>
    <row r="90" spans="1:9" x14ac:dyDescent="0.25">
      <c r="A90" t="s">
        <v>133</v>
      </c>
      <c r="B90" t="s">
        <v>88</v>
      </c>
      <c r="C90">
        <v>1.4878453641906979E-2</v>
      </c>
      <c r="D90">
        <v>-1.059883512043024E-3</v>
      </c>
      <c r="E90">
        <v>-1.2185402850224254E-2</v>
      </c>
      <c r="F90">
        <v>-3.2415509869641351E-3</v>
      </c>
      <c r="G90">
        <v>-1.5276743247770322E-2</v>
      </c>
      <c r="H90">
        <v>-4.4558421034757208E-3</v>
      </c>
      <c r="I90">
        <v>1.6448632393561572E-3</v>
      </c>
    </row>
    <row r="91" spans="1:9" x14ac:dyDescent="0.25">
      <c r="A91" t="s">
        <v>133</v>
      </c>
      <c r="B91" t="s">
        <v>89</v>
      </c>
      <c r="C91">
        <v>1.1187789144845039E-2</v>
      </c>
      <c r="D91">
        <v>-7.0721360797691994E-4</v>
      </c>
      <c r="E91">
        <v>4.6028387663942939E-2</v>
      </c>
      <c r="F91">
        <v>7.6175932510840969E-2</v>
      </c>
      <c r="G91">
        <v>2.6694556336131717E-3</v>
      </c>
      <c r="H91">
        <v>9.3822772834464016E-4</v>
      </c>
      <c r="I91">
        <v>3.4647597612288482E-3</v>
      </c>
    </row>
    <row r="92" spans="1:9" x14ac:dyDescent="0.25">
      <c r="A92" t="s">
        <v>133</v>
      </c>
      <c r="B92" t="s">
        <v>90</v>
      </c>
      <c r="C92">
        <v>3.323107616140763E-3</v>
      </c>
      <c r="D92">
        <v>2.3579344603475124E-4</v>
      </c>
      <c r="E92">
        <v>1.2033085241528243E-2</v>
      </c>
      <c r="F92">
        <v>3.8936421823623751E-2</v>
      </c>
      <c r="G92">
        <v>6.4990384183768379E-3</v>
      </c>
      <c r="H92">
        <v>1.2038911246141957E-2</v>
      </c>
      <c r="I92">
        <v>1.9817381750574545E-3</v>
      </c>
    </row>
    <row r="93" spans="1:9" x14ac:dyDescent="0.25">
      <c r="A93" t="s">
        <v>133</v>
      </c>
      <c r="B93" t="s">
        <v>91</v>
      </c>
      <c r="C93">
        <v>-5.4244532500858809E-3</v>
      </c>
      <c r="D93">
        <v>5.8924048608429878E-4</v>
      </c>
      <c r="E93">
        <v>6.7748288857437172E-3</v>
      </c>
      <c r="F93">
        <v>4.7758184367471104E-2</v>
      </c>
      <c r="G93">
        <v>2.1930812005543036E-3</v>
      </c>
      <c r="H93">
        <v>-7.5646054781763781E-3</v>
      </c>
      <c r="I93">
        <v>1.9068876860479356E-3</v>
      </c>
    </row>
    <row r="94" spans="1:9" x14ac:dyDescent="0.25">
      <c r="A94" t="s">
        <v>133</v>
      </c>
      <c r="B94" t="s">
        <v>92</v>
      </c>
      <c r="C94">
        <v>7.3056404454466999E-3</v>
      </c>
      <c r="D94">
        <v>4.7114252932772675E-4</v>
      </c>
      <c r="E94">
        <v>6.1740484108758729E-3</v>
      </c>
      <c r="F94">
        <v>3.5703591677708215E-3</v>
      </c>
      <c r="G94">
        <v>1.279199815495429E-3</v>
      </c>
      <c r="H94">
        <v>4.3191733694996773E-3</v>
      </c>
      <c r="I94">
        <v>1.4986130510813525E-3</v>
      </c>
    </row>
    <row r="95" spans="1:9" x14ac:dyDescent="0.25">
      <c r="A95" t="s">
        <v>133</v>
      </c>
      <c r="B95" t="s">
        <v>93</v>
      </c>
      <c r="C95">
        <v>1.6989825097564111E-3</v>
      </c>
      <c r="D95">
        <v>-4.711425293277339E-4</v>
      </c>
      <c r="E95">
        <v>3.5052423370649059E-2</v>
      </c>
      <c r="F95">
        <v>5.3688122344874266E-2</v>
      </c>
      <c r="G95">
        <v>-2.9171809402243408E-3</v>
      </c>
      <c r="H95">
        <v>-6.6700829509207709E-3</v>
      </c>
      <c r="I95">
        <v>-1.1237491881267384E-3</v>
      </c>
    </row>
    <row r="96" spans="1:9" x14ac:dyDescent="0.25">
      <c r="A96" t="s">
        <v>133</v>
      </c>
      <c r="B96" t="s">
        <v>94</v>
      </c>
      <c r="C96">
        <v>6.4121813242516111E-3</v>
      </c>
      <c r="D96">
        <v>-4.7136460924585032E-4</v>
      </c>
      <c r="E96">
        <v>1.1475395749792299E-2</v>
      </c>
      <c r="F96">
        <v>0.11806010859003811</v>
      </c>
      <c r="G96">
        <v>-1.3340356551013023E-3</v>
      </c>
      <c r="H96">
        <v>-9.6138969815210678E-3</v>
      </c>
      <c r="I96">
        <v>3.3169874170234873E-3</v>
      </c>
    </row>
    <row r="97" spans="1:9" x14ac:dyDescent="0.25">
      <c r="A97" t="s">
        <v>133</v>
      </c>
      <c r="B97" t="s">
        <v>95</v>
      </c>
      <c r="C97">
        <v>-1.6288336712432995E-3</v>
      </c>
      <c r="D97">
        <v>2.3571007769701327E-4</v>
      </c>
      <c r="E97">
        <v>-1.0873787888380542E-2</v>
      </c>
      <c r="F97">
        <v>1.0096066146985286E-2</v>
      </c>
      <c r="G97">
        <v>6.8491238522010722E-3</v>
      </c>
      <c r="H97">
        <v>9.3529736517935346E-3</v>
      </c>
      <c r="I97">
        <v>1.8171172494412045E-4</v>
      </c>
    </row>
    <row r="98" spans="1:9" x14ac:dyDescent="0.25">
      <c r="A98" t="s">
        <v>133</v>
      </c>
      <c r="B98" t="s">
        <v>96</v>
      </c>
      <c r="C98">
        <v>1.8655340688216275E-3</v>
      </c>
      <c r="D98">
        <v>4.123589937962586E-4</v>
      </c>
      <c r="E98">
        <v>9.5230445420916143E-3</v>
      </c>
      <c r="F98">
        <v>5.838255361229093E-2</v>
      </c>
      <c r="G98">
        <v>5.2576922156569103E-3</v>
      </c>
      <c r="H98">
        <v>5.8036104453400243E-3</v>
      </c>
      <c r="I98">
        <v>5.7520272435764312E-4</v>
      </c>
    </row>
    <row r="99" spans="1:9" x14ac:dyDescent="0.25">
      <c r="A99" t="s">
        <v>133</v>
      </c>
      <c r="B99" t="s">
        <v>97</v>
      </c>
      <c r="C99">
        <v>-2.9331181683205027E-3</v>
      </c>
      <c r="D99">
        <v>4.1218902394295356E-4</v>
      </c>
      <c r="E99">
        <v>-1.6634663914253327E-2</v>
      </c>
      <c r="F99">
        <v>-8.0293002001890195E-3</v>
      </c>
      <c r="G99">
        <v>1.0801552326118317E-2</v>
      </c>
      <c r="H99">
        <v>2.4034836427965861E-2</v>
      </c>
      <c r="I99">
        <v>3.1828555707139202E-3</v>
      </c>
    </row>
    <row r="100" spans="1:9" x14ac:dyDescent="0.25">
      <c r="A100" t="s">
        <v>133</v>
      </c>
      <c r="B100" t="s">
        <v>98</v>
      </c>
      <c r="C100">
        <v>4.7065875383242939E-3</v>
      </c>
      <c r="D100">
        <v>1.1773709320702813E-4</v>
      </c>
      <c r="E100">
        <v>-5.1449994054442179E-2</v>
      </c>
      <c r="F100">
        <v>-8.1937140666390421E-2</v>
      </c>
      <c r="G100">
        <v>6.0556267889029392E-3</v>
      </c>
      <c r="H100">
        <v>1.3057708100857475E-2</v>
      </c>
      <c r="I100">
        <v>2.6613789591992936E-3</v>
      </c>
    </row>
    <row r="101" spans="1:9" x14ac:dyDescent="0.25">
      <c r="A101" t="s">
        <v>133</v>
      </c>
      <c r="B101" t="s">
        <v>99</v>
      </c>
      <c r="C101">
        <v>-3.84649999364492E-3</v>
      </c>
      <c r="D101">
        <v>2.3543260850361804E-4</v>
      </c>
      <c r="E101">
        <v>-2.5892499017428593E-3</v>
      </c>
      <c r="F101">
        <v>-7.0097280950612954E-3</v>
      </c>
      <c r="G101">
        <v>4.988652828567198E-3</v>
      </c>
      <c r="H101">
        <v>-2.612104227924955E-3</v>
      </c>
      <c r="I101">
        <v>1.6034477554801212E-3</v>
      </c>
    </row>
    <row r="102" spans="1:9" x14ac:dyDescent="0.25">
      <c r="A102" t="s">
        <v>130</v>
      </c>
      <c r="B102" t="s">
        <v>100</v>
      </c>
      <c r="C102">
        <v>-1.0549941391183914E-2</v>
      </c>
      <c r="D102">
        <v>8.2357790407262344E-4</v>
      </c>
      <c r="E102">
        <v>8.081477429428368E-3</v>
      </c>
      <c r="F102">
        <v>2.923006882047071E-2</v>
      </c>
      <c r="G102">
        <v>1.4708851320128832E-2</v>
      </c>
      <c r="H102">
        <v>6.0193364921571155E-3</v>
      </c>
      <c r="I102">
        <v>-6.056454857465806E-3</v>
      </c>
    </row>
    <row r="103" spans="1:9" x14ac:dyDescent="0.25">
      <c r="A103" t="s">
        <v>130</v>
      </c>
      <c r="B103" t="s">
        <v>101</v>
      </c>
      <c r="C103">
        <v>-3.4099926244712302E-2</v>
      </c>
      <c r="D103">
        <v>1.6451237552884354E-3</v>
      </c>
      <c r="E103">
        <v>-3.7510630997187491E-3</v>
      </c>
      <c r="F103">
        <v>-1.447561903540729E-3</v>
      </c>
      <c r="G103">
        <v>1.0301445042059378E-2</v>
      </c>
      <c r="H103">
        <v>8.6072603264025858E-3</v>
      </c>
      <c r="I103">
        <v>9.7673466261456493E-4</v>
      </c>
    </row>
    <row r="104" spans="1:9" x14ac:dyDescent="0.25">
      <c r="A104" t="s">
        <v>130</v>
      </c>
      <c r="B104" t="s">
        <v>102</v>
      </c>
      <c r="C104">
        <v>-3.0754221824449209E-2</v>
      </c>
      <c r="D104">
        <v>1.0561521840747742E-3</v>
      </c>
      <c r="E104">
        <v>-3.2487228052061383E-2</v>
      </c>
      <c r="F104">
        <v>-6.7853201348755235E-2</v>
      </c>
      <c r="G104">
        <v>-1.5376050025436261E-2</v>
      </c>
      <c r="H104">
        <v>-3.4793719480179092E-2</v>
      </c>
      <c r="I104">
        <v>-3.9429881617532555E-3</v>
      </c>
    </row>
    <row r="105" spans="1:9" x14ac:dyDescent="0.25">
      <c r="A105" t="s">
        <v>130</v>
      </c>
      <c r="B105" t="s">
        <v>103</v>
      </c>
      <c r="C105">
        <v>-3.7792697834380211E-3</v>
      </c>
      <c r="D105">
        <v>7.0348226608537374E-4</v>
      </c>
      <c r="E105">
        <v>-5.7407727205007635E-2</v>
      </c>
      <c r="F105">
        <v>-9.357371733747577E-2</v>
      </c>
      <c r="G105">
        <v>2.7966580477920243E-3</v>
      </c>
      <c r="H105">
        <v>-5.7600409060880988E-3</v>
      </c>
      <c r="I105">
        <v>2.8287971739006574E-4</v>
      </c>
    </row>
    <row r="106" spans="1:9" x14ac:dyDescent="0.25">
      <c r="A106" t="s">
        <v>130</v>
      </c>
      <c r="B106" t="s">
        <v>104</v>
      </c>
      <c r="C106">
        <v>-4.515795462021259E-2</v>
      </c>
      <c r="D106">
        <v>1.1713718101706661E-3</v>
      </c>
      <c r="E106">
        <v>-4.0929700463859502E-3</v>
      </c>
      <c r="F106">
        <v>4.7438193373388407E-3</v>
      </c>
      <c r="G106">
        <v>1.4562917106487746E-3</v>
      </c>
      <c r="H106">
        <v>-1.0388010153100209E-2</v>
      </c>
      <c r="I106">
        <v>-4.9416821237912379E-3</v>
      </c>
    </row>
    <row r="107" spans="1:9" x14ac:dyDescent="0.25">
      <c r="A107" t="s">
        <v>130</v>
      </c>
      <c r="B107" t="s">
        <v>105</v>
      </c>
      <c r="C107">
        <v>-8.2926482299911976E-3</v>
      </c>
      <c r="D107">
        <v>3.6225572773441192E-3</v>
      </c>
      <c r="E107">
        <v>-1.2836153188428921E-2</v>
      </c>
      <c r="F107">
        <v>3.1338413448479307E-5</v>
      </c>
      <c r="G107">
        <v>-3.5468028762823449E-2</v>
      </c>
      <c r="H107">
        <v>-6.0322717966103633E-2</v>
      </c>
      <c r="I107">
        <v>-3.8242520163431415E-3</v>
      </c>
    </row>
    <row r="108" spans="1:9" x14ac:dyDescent="0.25">
      <c r="A108" t="s">
        <v>130</v>
      </c>
      <c r="B108" t="s">
        <v>106</v>
      </c>
      <c r="C108">
        <v>4.5007927109818387E-2</v>
      </c>
      <c r="D108">
        <v>-1.8680682607012692E-3</v>
      </c>
      <c r="E108">
        <v>2.2485675223149072E-2</v>
      </c>
      <c r="F108">
        <v>1.6659156775757931E-2</v>
      </c>
      <c r="G108">
        <v>3.5329161233046457E-3</v>
      </c>
      <c r="H108">
        <v>3.9892714093170941E-3</v>
      </c>
      <c r="I108">
        <v>-7.8980624585144911E-3</v>
      </c>
    </row>
    <row r="109" spans="1:9" x14ac:dyDescent="0.25">
      <c r="A109" t="s">
        <v>130</v>
      </c>
      <c r="B109" t="s">
        <v>107</v>
      </c>
      <c r="C109">
        <v>-2.8490833470137315E-2</v>
      </c>
      <c r="D109">
        <v>3.907280083966902E-3</v>
      </c>
      <c r="E109">
        <v>-9.2747719087840595E-3</v>
      </c>
      <c r="F109">
        <v>-2.6768623786103608E-2</v>
      </c>
      <c r="G109">
        <v>3.0362957732684891E-2</v>
      </c>
      <c r="H109">
        <v>2.6655976446688542E-2</v>
      </c>
      <c r="I109">
        <v>-2.1283932502555677E-3</v>
      </c>
    </row>
    <row r="110" spans="1:9" x14ac:dyDescent="0.25">
      <c r="A110" t="s">
        <v>130</v>
      </c>
      <c r="B110" t="s">
        <v>108</v>
      </c>
      <c r="C110">
        <v>4.1319972659452892E-2</v>
      </c>
      <c r="D110">
        <v>1.7459624662432663E-4</v>
      </c>
      <c r="E110">
        <v>-3.7098031652025463E-3</v>
      </c>
      <c r="F110">
        <v>1.7084294082821393E-4</v>
      </c>
      <c r="G110">
        <v>-2.4056672976811347E-3</v>
      </c>
      <c r="H110">
        <v>0</v>
      </c>
      <c r="I110">
        <v>1.8818550561318674E-3</v>
      </c>
    </row>
    <row r="111" spans="1:9" x14ac:dyDescent="0.25">
      <c r="A111" t="s">
        <v>130</v>
      </c>
      <c r="B111" t="s">
        <v>109</v>
      </c>
      <c r="C111">
        <v>-3.4517563936062777E-2</v>
      </c>
      <c r="D111">
        <v>2.0927806731305776E-3</v>
      </c>
      <c r="E111">
        <v>3.6284875377857809E-2</v>
      </c>
      <c r="F111">
        <v>2.0936671828127487E-2</v>
      </c>
      <c r="G111">
        <v>2.1038508394201245E-2</v>
      </c>
      <c r="H111">
        <v>1.3298837223988296E-2</v>
      </c>
      <c r="I111">
        <v>-5.3153259735997148E-3</v>
      </c>
    </row>
    <row r="112" spans="1:9" x14ac:dyDescent="0.25">
      <c r="A112" t="s">
        <v>131</v>
      </c>
      <c r="B112" t="s">
        <v>110</v>
      </c>
      <c r="C112">
        <v>-1.7177681686256413E-2</v>
      </c>
      <c r="D112">
        <v>1.1607662359622872E-3</v>
      </c>
      <c r="E112">
        <v>4.8109581090545507E-3</v>
      </c>
      <c r="F112">
        <v>6.0328388790086993E-2</v>
      </c>
      <c r="G112">
        <v>2.1645288942755891E-3</v>
      </c>
      <c r="H112">
        <v>-5.587089383158726E-3</v>
      </c>
      <c r="I112">
        <v>-9.0159400173080214E-3</v>
      </c>
    </row>
    <row r="113" spans="1:9" x14ac:dyDescent="0.25">
      <c r="A113" t="s">
        <v>131</v>
      </c>
      <c r="B113" t="s">
        <v>111</v>
      </c>
      <c r="C113">
        <v>-7.9005924187132759E-2</v>
      </c>
      <c r="D113">
        <v>5.4376254766061154E-3</v>
      </c>
      <c r="E113">
        <v>-0.14089759524012405</v>
      </c>
      <c r="F113">
        <v>-0.18702082995810015</v>
      </c>
      <c r="G113">
        <v>3.5594758592416907E-3</v>
      </c>
      <c r="H113">
        <v>-2.0010585150804103E-2</v>
      </c>
      <c r="I113">
        <v>-1.1066627305357329E-2</v>
      </c>
    </row>
    <row r="114" spans="1:9" x14ac:dyDescent="0.25">
      <c r="A114" t="s">
        <v>131</v>
      </c>
      <c r="B114" t="s">
        <v>112</v>
      </c>
      <c r="C114">
        <v>4.8190108308079661E-2</v>
      </c>
      <c r="D114">
        <v>-4.3940866260373983E-3</v>
      </c>
      <c r="E114">
        <v>-1.7577192754574739E-3</v>
      </c>
      <c r="F114">
        <v>-6.0537434506753897E-3</v>
      </c>
      <c r="G114">
        <v>-1.8525500068434165E-2</v>
      </c>
      <c r="H114">
        <v>-6.5031266724255342E-3</v>
      </c>
      <c r="I114">
        <v>1.5880402098788129E-2</v>
      </c>
    </row>
    <row r="115" spans="1:9" x14ac:dyDescent="0.25">
      <c r="A115" t="s">
        <v>131</v>
      </c>
      <c r="B115" t="s">
        <v>113</v>
      </c>
      <c r="C115">
        <v>-5.00851526069803E-2</v>
      </c>
      <c r="D115">
        <v>-1.1595548609083981E-3</v>
      </c>
      <c r="E115">
        <v>2.149950986968747E-4</v>
      </c>
      <c r="F115">
        <v>-2.9821145879572714E-2</v>
      </c>
      <c r="G115">
        <v>-8.7261810754396055E-3</v>
      </c>
      <c r="H115">
        <v>-6.3666058623140353E-3</v>
      </c>
      <c r="I115">
        <v>9.6412528655694487E-4</v>
      </c>
    </row>
    <row r="116" spans="1:9" x14ac:dyDescent="0.25">
      <c r="A116" t="s">
        <v>132</v>
      </c>
      <c r="B116" t="s">
        <v>114</v>
      </c>
      <c r="C116">
        <v>-9.9968272416051746E-2</v>
      </c>
      <c r="D116">
        <v>-2.3207240763243602E-4</v>
      </c>
      <c r="E116">
        <v>-0.46473020666317</v>
      </c>
      <c r="F116">
        <v>-0.55073172062806997</v>
      </c>
      <c r="G116">
        <v>-3.607977606547691E-2</v>
      </c>
      <c r="H116">
        <v>-5.7302384371887526E-2</v>
      </c>
      <c r="I116">
        <v>9.9085744302777994E-3</v>
      </c>
    </row>
    <row r="117" spans="1:9" x14ac:dyDescent="0.25">
      <c r="A117" t="s">
        <v>132</v>
      </c>
      <c r="B117" t="s">
        <v>115</v>
      </c>
      <c r="C117">
        <v>8.8817104117436416E-2</v>
      </c>
      <c r="D117">
        <v>1.2757322692802484E-3</v>
      </c>
      <c r="E117">
        <v>0.11268623430835654</v>
      </c>
      <c r="F117">
        <v>0.17027192829193374</v>
      </c>
      <c r="G117">
        <v>-3.0509738992176391E-2</v>
      </c>
      <c r="H117">
        <v>-7.4788939153138348E-2</v>
      </c>
      <c r="I117">
        <v>1.3057158143172676E-2</v>
      </c>
    </row>
    <row r="118" spans="1:9" x14ac:dyDescent="0.25">
      <c r="A118" t="s">
        <v>132</v>
      </c>
      <c r="B118" t="s">
        <v>116</v>
      </c>
      <c r="C118">
        <v>-0.12765733657068626</v>
      </c>
      <c r="D118">
        <v>1.6213089828314314E-3</v>
      </c>
      <c r="E118">
        <v>-0.10393487063687459</v>
      </c>
      <c r="F118">
        <v>-0.185892109698545</v>
      </c>
      <c r="G118">
        <v>-9.9136576680184923E-3</v>
      </c>
      <c r="H118">
        <v>-0.12925871181874304</v>
      </c>
      <c r="I118">
        <v>-6.9099645936425858E-3</v>
      </c>
    </row>
    <row r="119" spans="1:9" x14ac:dyDescent="0.25">
      <c r="A119" t="s">
        <v>132</v>
      </c>
      <c r="B119" t="s">
        <v>117</v>
      </c>
      <c r="C119">
        <v>5.8242813256478829E-2</v>
      </c>
      <c r="D119">
        <v>-2.316961184798566E-3</v>
      </c>
      <c r="E119">
        <v>4.1245487621826796E-2</v>
      </c>
      <c r="F119">
        <v>2.9722915095853703E-2</v>
      </c>
      <c r="G119">
        <v>9.1812197943966778E-3</v>
      </c>
      <c r="H119">
        <v>-2.4324463311370653E-2</v>
      </c>
      <c r="I119">
        <v>1.5239816513672112E-2</v>
      </c>
    </row>
    <row r="120" spans="1:9" x14ac:dyDescent="0.25">
      <c r="A120" t="s">
        <v>132</v>
      </c>
      <c r="B120" t="s">
        <v>118</v>
      </c>
      <c r="C120">
        <v>-5.3226290048630311E-2</v>
      </c>
      <c r="D120">
        <v>-1.2766206109147472E-3</v>
      </c>
      <c r="E120">
        <v>2.4482621349108734E-3</v>
      </c>
      <c r="F120">
        <v>7.8635168798080364E-3</v>
      </c>
      <c r="G120">
        <v>-2.8049389700748613E-2</v>
      </c>
      <c r="H120">
        <v>-4.9664255368952512E-2</v>
      </c>
      <c r="I120">
        <v>1.5792292734056423E-2</v>
      </c>
    </row>
    <row r="121" spans="1:9" x14ac:dyDescent="0.25">
      <c r="A121" t="s">
        <v>132</v>
      </c>
      <c r="B121" t="s">
        <v>119</v>
      </c>
      <c r="C121">
        <v>4.7009966969245786E-3</v>
      </c>
      <c r="D121">
        <v>1.7404425116234218E-3</v>
      </c>
      <c r="E121">
        <v>0.16710431824865274</v>
      </c>
      <c r="F121">
        <v>0.17345233436499569</v>
      </c>
      <c r="G121">
        <v>-1.0347368553411725E-2</v>
      </c>
      <c r="H121">
        <v>1.079296487769755E-2</v>
      </c>
      <c r="I121">
        <v>1.5644092191119265E-2</v>
      </c>
    </row>
    <row r="122" spans="1:9" x14ac:dyDescent="0.25">
      <c r="A122" t="s">
        <v>132</v>
      </c>
      <c r="B122" t="s">
        <v>120</v>
      </c>
      <c r="C122">
        <v>-4.4340462291053387E-2</v>
      </c>
      <c r="D122">
        <v>2.6628090987233866E-3</v>
      </c>
      <c r="E122">
        <v>1.2244183156443181E-3</v>
      </c>
      <c r="F122">
        <v>-2.8640974387357743E-2</v>
      </c>
      <c r="G122">
        <v>1.8348644261053763E-2</v>
      </c>
      <c r="H122">
        <v>3.8076693707293677E-2</v>
      </c>
      <c r="I122">
        <v>6.0319500593325882E-4</v>
      </c>
    </row>
    <row r="123" spans="1:9" x14ac:dyDescent="0.25">
      <c r="A123" t="s">
        <v>132</v>
      </c>
      <c r="B123" t="s">
        <v>121</v>
      </c>
      <c r="C123">
        <v>-2.9722814128868832E-2</v>
      </c>
      <c r="D123">
        <v>1.1555351412894052E-3</v>
      </c>
      <c r="E123">
        <v>3.4491718778777929E-2</v>
      </c>
      <c r="F123">
        <v>1.6248830023234882E-2</v>
      </c>
      <c r="G123">
        <v>3.6418893467846908E-2</v>
      </c>
      <c r="H123">
        <v>5.1889301159936806E-2</v>
      </c>
      <c r="I123">
        <v>-3.2147477321584667E-3</v>
      </c>
    </row>
    <row r="124" spans="1:9" x14ac:dyDescent="0.25">
      <c r="A124" t="s">
        <v>132</v>
      </c>
      <c r="B124" t="s">
        <v>122</v>
      </c>
      <c r="C124">
        <v>8.9670898616125996E-2</v>
      </c>
      <c r="D124">
        <v>-1.3868024873710651E-3</v>
      </c>
      <c r="E124">
        <v>4.8444747418602337E-2</v>
      </c>
      <c r="F124">
        <v>2.813639765229721E-2</v>
      </c>
      <c r="G124">
        <v>4.2968471858317286E-2</v>
      </c>
      <c r="H124">
        <v>7.416187905651378E-2</v>
      </c>
      <c r="I124">
        <v>-4.3808681194693879E-3</v>
      </c>
    </row>
    <row r="125" spans="1:9" x14ac:dyDescent="0.25">
      <c r="A125" t="s">
        <v>132</v>
      </c>
      <c r="B125" t="s">
        <v>123</v>
      </c>
      <c r="C125">
        <v>1.1497414836250339E-2</v>
      </c>
      <c r="D125">
        <v>1.1558022553434127E-3</v>
      </c>
      <c r="E125">
        <v>-8.0115495639876515E-3</v>
      </c>
      <c r="F125">
        <v>-1.8661997404647551E-2</v>
      </c>
      <c r="G125">
        <v>-5.0930013481636531E-3</v>
      </c>
      <c r="H125">
        <v>1.1149941297034477E-2</v>
      </c>
      <c r="I125">
        <v>-9.7396492975589301E-3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DEE6-3A59-47CD-B960-6EDFD92627CE}">
  <dimension ref="A1:I126"/>
  <sheetViews>
    <sheetView workbookViewId="0">
      <selection activeCell="A13" sqref="A13"/>
    </sheetView>
  </sheetViews>
  <sheetFormatPr defaultRowHeight="15" x14ac:dyDescent="0.25"/>
  <cols>
    <col min="1" max="1" width="13.85546875" bestFit="1" customWidth="1"/>
    <col min="2" max="2" width="10.7109375" bestFit="1" customWidth="1"/>
  </cols>
  <sheetData>
    <row r="1" spans="1:9" x14ac:dyDescent="0.25">
      <c r="A1" t="s">
        <v>337</v>
      </c>
      <c r="B1" t="s">
        <v>338</v>
      </c>
      <c r="C1" t="s">
        <v>136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  <c r="I1" t="s">
        <v>129</v>
      </c>
    </row>
    <row r="2" spans="1:9" x14ac:dyDescent="0.25">
      <c r="A2" t="s">
        <v>133</v>
      </c>
      <c r="B2" t="s">
        <v>212</v>
      </c>
      <c r="C2">
        <v>2.2627231770550355E-3</v>
      </c>
      <c r="D2">
        <v>2.3196474239945303E-4</v>
      </c>
      <c r="E2">
        <v>1.7621637076743152E-3</v>
      </c>
      <c r="F2">
        <v>2.2782492406572551E-2</v>
      </c>
      <c r="G2">
        <v>3.4349611944521387E-3</v>
      </c>
      <c r="H2">
        <v>-8.432947530991614E-5</v>
      </c>
      <c r="I2">
        <v>1.0040107290121309E-3</v>
      </c>
    </row>
    <row r="3" spans="1:9" x14ac:dyDescent="0.25">
      <c r="A3" t="s">
        <v>133</v>
      </c>
      <c r="B3" t="s">
        <v>213</v>
      </c>
      <c r="C3">
        <v>-5.7452075710336756E-3</v>
      </c>
      <c r="D3">
        <v>1.1596219645376226E-4</v>
      </c>
      <c r="E3">
        <v>4.6272076997073128E-2</v>
      </c>
      <c r="F3">
        <v>4.2795714794395714E-2</v>
      </c>
      <c r="G3">
        <v>5.9926355624837658E-3</v>
      </c>
      <c r="H3">
        <v>4.963311204809283E-3</v>
      </c>
      <c r="I3">
        <v>-5.6125809631009892E-4</v>
      </c>
    </row>
    <row r="4" spans="1:9" x14ac:dyDescent="0.25">
      <c r="A4" t="s">
        <v>133</v>
      </c>
      <c r="B4" t="s">
        <v>214</v>
      </c>
      <c r="C4">
        <v>8.4269532057709463E-3</v>
      </c>
      <c r="D4">
        <v>0</v>
      </c>
      <c r="E4">
        <v>2.2754540140285297E-2</v>
      </c>
      <c r="F4">
        <v>5.2851887945430637E-2</v>
      </c>
      <c r="G4">
        <v>-6.4945764109287894E-3</v>
      </c>
      <c r="H4">
        <v>-5.8758107161327163E-4</v>
      </c>
      <c r="I4">
        <v>-8.1006209505005914E-4</v>
      </c>
    </row>
    <row r="5" spans="1:9" x14ac:dyDescent="0.25">
      <c r="A5" t="s">
        <v>133</v>
      </c>
      <c r="B5" t="s">
        <v>215</v>
      </c>
      <c r="C5">
        <v>-1.5411248792590179E-3</v>
      </c>
      <c r="D5">
        <v>-3.4792693885335365E-4</v>
      </c>
      <c r="E5">
        <v>-8.1907460733369464E-3</v>
      </c>
      <c r="F5">
        <v>-1.2241774445250321E-2</v>
      </c>
      <c r="G5">
        <v>-2.2110444485335792E-2</v>
      </c>
      <c r="H5">
        <v>-3.8058476072968021E-2</v>
      </c>
      <c r="I5">
        <v>4.1406140676057464E-3</v>
      </c>
    </row>
    <row r="6" spans="1:9" x14ac:dyDescent="0.25">
      <c r="A6" t="s">
        <v>133</v>
      </c>
      <c r="B6" t="s">
        <v>216</v>
      </c>
      <c r="C6">
        <v>-9.161603578958474E-3</v>
      </c>
      <c r="D6">
        <v>-2.3201856252567157E-4</v>
      </c>
      <c r="E6">
        <v>-1.0854036440187063E-2</v>
      </c>
      <c r="F6">
        <v>-4.9582688899327376E-2</v>
      </c>
      <c r="G6">
        <v>4.390529072253215E-4</v>
      </c>
      <c r="H6">
        <v>-2.3720015502599872E-2</v>
      </c>
      <c r="I6">
        <v>2.8260292707252745E-3</v>
      </c>
    </row>
    <row r="7" spans="1:9" x14ac:dyDescent="0.25">
      <c r="A7" t="s">
        <v>133</v>
      </c>
      <c r="B7" t="s">
        <v>217</v>
      </c>
      <c r="C7">
        <v>-1.7132160526929691E-2</v>
      </c>
      <c r="D7">
        <v>2.3201856252566265E-4</v>
      </c>
      <c r="E7">
        <v>-9.8262378585381366E-2</v>
      </c>
      <c r="F7">
        <v>-0.1384963896894903</v>
      </c>
      <c r="G7">
        <v>5.5258182016506389E-3</v>
      </c>
      <c r="H7">
        <v>-6.6088171092081385E-3</v>
      </c>
      <c r="I7">
        <v>8.6876785231606451E-4</v>
      </c>
    </row>
    <row r="8" spans="1:9" x14ac:dyDescent="0.25">
      <c r="A8" t="s">
        <v>133</v>
      </c>
      <c r="B8" t="s">
        <v>218</v>
      </c>
      <c r="C8">
        <v>-8.0349870597761137E-4</v>
      </c>
      <c r="D8">
        <v>2.3196474239945303E-4</v>
      </c>
      <c r="E8">
        <v>-5.1488271943979834E-2</v>
      </c>
      <c r="F8">
        <v>-6.8014303807795426E-2</v>
      </c>
      <c r="G8">
        <v>5.8618703631955794E-3</v>
      </c>
      <c r="H8">
        <v>1.0130575385404043E-2</v>
      </c>
      <c r="I8">
        <v>-7.722008105723445E-4</v>
      </c>
    </row>
    <row r="9" spans="1:9" x14ac:dyDescent="0.25">
      <c r="A9" t="s">
        <v>133</v>
      </c>
      <c r="B9" t="s">
        <v>219</v>
      </c>
      <c r="C9">
        <v>9.4631440606228433E-3</v>
      </c>
      <c r="D9">
        <v>-5.8001277654110331E-4</v>
      </c>
      <c r="E9">
        <v>6.8399604524100877E-2</v>
      </c>
      <c r="F9">
        <v>0.10740226866236083</v>
      </c>
      <c r="G9">
        <v>-3.579740480581389E-3</v>
      </c>
      <c r="H9">
        <v>8.7725690527387882E-3</v>
      </c>
      <c r="I9">
        <v>2.7642973470134381E-3</v>
      </c>
    </row>
    <row r="10" spans="1:9" x14ac:dyDescent="0.25">
      <c r="A10" t="s">
        <v>133</v>
      </c>
      <c r="B10" t="s">
        <v>220</v>
      </c>
      <c r="C10">
        <v>1.2075311233272733E-2</v>
      </c>
      <c r="D10">
        <v>-5.8034938660980328E-4</v>
      </c>
      <c r="E10">
        <v>2.985624834635393E-2</v>
      </c>
      <c r="F10">
        <v>2.4917340260236221E-2</v>
      </c>
      <c r="G10">
        <v>-1.4437022930284329E-2</v>
      </c>
      <c r="H10">
        <v>-8.0785972375097357E-3</v>
      </c>
      <c r="I10">
        <v>-4.6006676499567275E-3</v>
      </c>
    </row>
    <row r="11" spans="1:9" x14ac:dyDescent="0.25">
      <c r="A11" t="s">
        <v>133</v>
      </c>
      <c r="B11" t="s">
        <v>221</v>
      </c>
      <c r="C11">
        <v>1.4599362467327282E-3</v>
      </c>
      <c r="D11">
        <v>-3.4837136739722456E-4</v>
      </c>
      <c r="E11">
        <v>-4.6862132209225069E-2</v>
      </c>
      <c r="F11">
        <v>-7.3582524088816298E-2</v>
      </c>
      <c r="G11">
        <v>4.1747497231623375E-3</v>
      </c>
      <c r="H11">
        <v>-3.2114338512354733E-3</v>
      </c>
      <c r="I11">
        <v>3.1551861333156579E-3</v>
      </c>
    </row>
    <row r="12" spans="1:9" x14ac:dyDescent="0.25">
      <c r="A12" t="s">
        <v>133</v>
      </c>
      <c r="B12" t="s">
        <v>222</v>
      </c>
      <c r="C12">
        <v>-2.7869570552744717E-3</v>
      </c>
      <c r="D12">
        <v>-1.1615076382176398E-4</v>
      </c>
      <c r="E12">
        <v>-1.4199860488172544E-2</v>
      </c>
      <c r="F12">
        <v>8.4202610057798513E-4</v>
      </c>
      <c r="G12">
        <v>-5.714759222886395E-6</v>
      </c>
      <c r="H12">
        <v>1.0429474321640075E-2</v>
      </c>
      <c r="I12">
        <v>5.9986076459976341E-4</v>
      </c>
    </row>
    <row r="13" spans="1:9" x14ac:dyDescent="0.25">
      <c r="A13" t="s">
        <v>133</v>
      </c>
      <c r="B13" t="s">
        <v>223</v>
      </c>
      <c r="C13">
        <v>-2.0578963317533276E-2</v>
      </c>
      <c r="D13">
        <v>1.1615076382179625E-4</v>
      </c>
      <c r="E13">
        <v>-2.8852324228907527E-2</v>
      </c>
      <c r="F13">
        <v>-4.4191979455498263E-2</v>
      </c>
      <c r="G13">
        <v>-9.2837530540907185E-3</v>
      </c>
      <c r="H13">
        <v>-9.6267628978746484E-3</v>
      </c>
      <c r="I13">
        <v>4.0930011348056074E-3</v>
      </c>
    </row>
    <row r="14" spans="1:9" x14ac:dyDescent="0.25">
      <c r="A14" t="s">
        <v>133</v>
      </c>
      <c r="B14" t="s">
        <v>224</v>
      </c>
      <c r="C14">
        <v>1.5840041879029705E-3</v>
      </c>
      <c r="D14">
        <v>3.4837136739722477E-4</v>
      </c>
      <c r="E14">
        <v>1.2828888289468791E-2</v>
      </c>
      <c r="F14">
        <v>1.6199318360084647E-2</v>
      </c>
      <c r="G14">
        <v>-4.375995121110878E-3</v>
      </c>
      <c r="H14">
        <v>-4.1894279044117085E-2</v>
      </c>
      <c r="I14">
        <v>6.0817607609057701E-3</v>
      </c>
    </row>
    <row r="15" spans="1:9" x14ac:dyDescent="0.25">
      <c r="A15" t="s">
        <v>133</v>
      </c>
      <c r="B15" t="s">
        <v>225</v>
      </c>
      <c r="C15">
        <v>-1.1999682465785085E-2</v>
      </c>
      <c r="D15">
        <v>2.3218017285654108E-4</v>
      </c>
      <c r="E15">
        <v>5.2182780288280189E-2</v>
      </c>
      <c r="F15">
        <v>5.0750491659735705E-2</v>
      </c>
      <c r="G15">
        <v>1.7543957010718848E-2</v>
      </c>
      <c r="H15">
        <v>3.1453478891182447E-2</v>
      </c>
      <c r="I15">
        <v>-1.1454754975288675E-3</v>
      </c>
    </row>
    <row r="16" spans="1:9" x14ac:dyDescent="0.25">
      <c r="A16" t="s">
        <v>133</v>
      </c>
      <c r="B16" t="s">
        <v>226</v>
      </c>
      <c r="C16">
        <v>1.1426057715357414E-2</v>
      </c>
      <c r="D16">
        <v>3.4816921375343027E-4</v>
      </c>
      <c r="E16">
        <v>9.4208390031785688E-2</v>
      </c>
      <c r="F16">
        <v>9.7025662020374603E-2</v>
      </c>
      <c r="G16">
        <v>2.1040547764900682E-3</v>
      </c>
      <c r="H16">
        <v>1.4311514393255946E-2</v>
      </c>
      <c r="I16">
        <v>-2.0715488246233938E-3</v>
      </c>
    </row>
    <row r="17" spans="1:9" x14ac:dyDescent="0.25">
      <c r="A17" t="s">
        <v>133</v>
      </c>
      <c r="B17" t="s">
        <v>227</v>
      </c>
      <c r="C17">
        <v>-1.3052452125907945E-2</v>
      </c>
      <c r="D17">
        <v>-4.6425256172751011E-4</v>
      </c>
      <c r="E17">
        <v>2.0487432152640719E-2</v>
      </c>
      <c r="F17">
        <v>2.170462175470194E-2</v>
      </c>
      <c r="G17">
        <v>5.1843385133063576E-3</v>
      </c>
      <c r="H17">
        <v>6.1577339756179045E-3</v>
      </c>
      <c r="I17">
        <v>-2.7580936599681171E-3</v>
      </c>
    </row>
    <row r="18" spans="1:9" x14ac:dyDescent="0.25">
      <c r="A18" t="s">
        <v>133</v>
      </c>
      <c r="B18" t="s">
        <v>228</v>
      </c>
      <c r="C18">
        <v>1.0455555450053496E-2</v>
      </c>
      <c r="D18">
        <v>-1.1609682488231944E-4</v>
      </c>
      <c r="E18">
        <v>4.7747662433157353E-2</v>
      </c>
      <c r="F18">
        <v>4.0137925477387745E-2</v>
      </c>
      <c r="G18">
        <v>-5.4115905822780903E-3</v>
      </c>
      <c r="H18">
        <v>3.9718352752893242E-5</v>
      </c>
      <c r="I18">
        <v>2.1198297161682837E-3</v>
      </c>
    </row>
    <row r="19" spans="1:9" x14ac:dyDescent="0.25">
      <c r="A19" t="s">
        <v>133</v>
      </c>
      <c r="B19" t="s">
        <v>229</v>
      </c>
      <c r="C19">
        <v>4.1105542820142147E-3</v>
      </c>
      <c r="D19">
        <v>-1.1611030491986927E-4</v>
      </c>
      <c r="E19">
        <v>7.201407489813734E-2</v>
      </c>
      <c r="F19">
        <v>1.7479759781329835E-2</v>
      </c>
      <c r="G19">
        <v>1.4308266031077183E-3</v>
      </c>
      <c r="H19">
        <v>-2.9168712951231344E-3</v>
      </c>
      <c r="I19">
        <v>3.0917837432737571E-3</v>
      </c>
    </row>
    <row r="20" spans="1:9" x14ac:dyDescent="0.25">
      <c r="A20" t="s">
        <v>133</v>
      </c>
      <c r="B20" t="s">
        <v>230</v>
      </c>
      <c r="C20">
        <v>8.2616806042070251E-3</v>
      </c>
      <c r="D20">
        <v>-3.4841182629903519E-4</v>
      </c>
      <c r="E20">
        <v>-2.8498783472744201E-2</v>
      </c>
      <c r="F20">
        <v>2.0681268217232992E-3</v>
      </c>
      <c r="G20">
        <v>-4.0878226900841483E-3</v>
      </c>
      <c r="H20">
        <v>-6.4196931820582545E-4</v>
      </c>
      <c r="I20">
        <v>-5.1994080212948933E-4</v>
      </c>
    </row>
    <row r="21" spans="1:9" x14ac:dyDescent="0.25">
      <c r="A21" t="s">
        <v>133</v>
      </c>
      <c r="B21" t="s">
        <v>231</v>
      </c>
      <c r="C21">
        <v>-1.9337745330621106E-3</v>
      </c>
      <c r="D21">
        <v>-3.4853325940973387E-4</v>
      </c>
      <c r="E21">
        <v>3.0037296020950276E-3</v>
      </c>
      <c r="F21">
        <v>-6.7719636602658461E-3</v>
      </c>
      <c r="G21">
        <v>7.8588598447925078E-4</v>
      </c>
      <c r="H21">
        <v>3.558840613329073E-3</v>
      </c>
      <c r="I21">
        <v>-1.593338060951337E-3</v>
      </c>
    </row>
    <row r="22" spans="1:9" x14ac:dyDescent="0.25">
      <c r="A22" t="s">
        <v>133</v>
      </c>
      <c r="B22" t="s">
        <v>232</v>
      </c>
      <c r="C22">
        <v>-6.8780619625201742E-3</v>
      </c>
      <c r="D22">
        <v>-8.1371698764846044E-4</v>
      </c>
      <c r="E22">
        <v>6.3131942779454914E-2</v>
      </c>
      <c r="F22">
        <v>-5.1779127497704348E-3</v>
      </c>
      <c r="G22">
        <v>-1.60089821203071E-3</v>
      </c>
      <c r="H22">
        <v>-4.6001496549245144E-3</v>
      </c>
      <c r="I22">
        <v>2.6435521783666877E-3</v>
      </c>
    </row>
    <row r="23" spans="1:9" x14ac:dyDescent="0.25">
      <c r="A23" t="s">
        <v>133</v>
      </c>
      <c r="B23" t="s">
        <v>233</v>
      </c>
      <c r="C23">
        <v>-2.4334822266245905E-3</v>
      </c>
      <c r="D23">
        <v>4.6506221045166318E-4</v>
      </c>
      <c r="E23">
        <v>-2.5435801839980652E-2</v>
      </c>
      <c r="F23">
        <v>-1.4999243778287239E-2</v>
      </c>
      <c r="G23">
        <v>3.4549623272946777E-3</v>
      </c>
      <c r="H23">
        <v>-9.9801514177646198E-4</v>
      </c>
      <c r="I23">
        <v>2.1182858285204646E-3</v>
      </c>
    </row>
    <row r="24" spans="1:9" x14ac:dyDescent="0.25">
      <c r="A24" t="s">
        <v>133</v>
      </c>
      <c r="B24" t="s">
        <v>234</v>
      </c>
      <c r="C24">
        <v>3.0294707829480439E-3</v>
      </c>
      <c r="D24">
        <v>-3.4877637974902381E-4</v>
      </c>
      <c r="E24">
        <v>2.3978843899316683E-2</v>
      </c>
      <c r="F24">
        <v>3.201623287513726E-2</v>
      </c>
      <c r="G24">
        <v>1.8420936467030809E-2</v>
      </c>
      <c r="H24">
        <v>2.3317561770605535E-2</v>
      </c>
      <c r="I24">
        <v>-4.6236481870049004E-3</v>
      </c>
    </row>
    <row r="25" spans="1:9" x14ac:dyDescent="0.25">
      <c r="A25" t="s">
        <v>133</v>
      </c>
      <c r="B25" t="s">
        <v>235</v>
      </c>
      <c r="C25">
        <v>1.6928182836471094E-2</v>
      </c>
      <c r="D25">
        <v>0</v>
      </c>
      <c r="E25">
        <v>-1.3872113187318482E-3</v>
      </c>
      <c r="F25">
        <v>4.8658749808172155E-2</v>
      </c>
      <c r="G25">
        <v>1.6219790023284761E-3</v>
      </c>
      <c r="H25">
        <v>2.0380449258365779E-2</v>
      </c>
      <c r="I25">
        <v>-1.3188965727275752E-3</v>
      </c>
    </row>
    <row r="26" spans="1:9" x14ac:dyDescent="0.25">
      <c r="A26" t="s">
        <v>133</v>
      </c>
      <c r="B26" t="s">
        <v>236</v>
      </c>
      <c r="C26">
        <v>7.4301384511375095E-3</v>
      </c>
      <c r="D26">
        <v>-5.8156442464942729E-4</v>
      </c>
      <c r="E26">
        <v>7.1887439905290465E-2</v>
      </c>
      <c r="F26">
        <v>2.0035757977441355E-2</v>
      </c>
      <c r="G26">
        <v>-1.5886626439291313E-2</v>
      </c>
      <c r="H26">
        <v>-1.09561466267547E-2</v>
      </c>
      <c r="I26">
        <v>-2.0224276651888444E-4</v>
      </c>
    </row>
    <row r="27" spans="1:9" x14ac:dyDescent="0.25">
      <c r="A27" t="s">
        <v>133</v>
      </c>
      <c r="B27" t="s">
        <v>237</v>
      </c>
      <c r="C27">
        <v>3.3713290619538485E-3</v>
      </c>
      <c r="D27">
        <v>-6.9832405072490361E-4</v>
      </c>
      <c r="E27">
        <v>6.9912543777646639E-3</v>
      </c>
      <c r="F27">
        <v>-2.9924376194847765E-2</v>
      </c>
      <c r="G27">
        <v>-1.5062887560327238E-3</v>
      </c>
      <c r="H27">
        <v>-5.098119488754012E-3</v>
      </c>
      <c r="I27">
        <v>1.703124172514054E-4</v>
      </c>
    </row>
    <row r="28" spans="1:9" x14ac:dyDescent="0.25">
      <c r="A28" t="s">
        <v>133</v>
      </c>
      <c r="B28" t="s">
        <v>238</v>
      </c>
      <c r="C28">
        <v>7.3506065969788179E-3</v>
      </c>
      <c r="D28">
        <v>3.4922298242112915E-4</v>
      </c>
      <c r="E28">
        <v>3.5413432920988967E-2</v>
      </c>
      <c r="F28">
        <v>3.3804395207734497E-2</v>
      </c>
      <c r="G28">
        <v>2.4168888251760437E-3</v>
      </c>
      <c r="H28">
        <v>2.0716279221319907E-2</v>
      </c>
      <c r="I28">
        <v>-2.3336736096809425E-3</v>
      </c>
    </row>
    <row r="29" spans="1:9" x14ac:dyDescent="0.25">
      <c r="A29" t="s">
        <v>133</v>
      </c>
      <c r="B29" t="s">
        <v>239</v>
      </c>
      <c r="C29">
        <v>3.6661628112442434E-3</v>
      </c>
      <c r="D29">
        <v>3.4910106830381908E-4</v>
      </c>
      <c r="E29">
        <v>2.6577866667517026E-2</v>
      </c>
      <c r="F29">
        <v>6.9321647696455782E-2</v>
      </c>
      <c r="G29">
        <v>7.300001438122955E-3</v>
      </c>
      <c r="H29">
        <v>2.5795495142109496E-2</v>
      </c>
      <c r="I29">
        <v>-1.8794187878372131E-3</v>
      </c>
    </row>
    <row r="30" spans="1:9" x14ac:dyDescent="0.25">
      <c r="A30" t="s">
        <v>133</v>
      </c>
      <c r="B30" t="s">
        <v>240</v>
      </c>
      <c r="C30">
        <v>2.9936187886093774E-3</v>
      </c>
      <c r="D30">
        <v>-1.1641444853738245E-3</v>
      </c>
      <c r="E30">
        <v>-5.9027665738603456E-2</v>
      </c>
      <c r="F30">
        <v>-2.4767558585883014E-2</v>
      </c>
      <c r="G30">
        <v>5.2179915283469475E-4</v>
      </c>
      <c r="H30">
        <v>-5.4955409675951656E-3</v>
      </c>
      <c r="I30">
        <v>2.2634106007302368E-3</v>
      </c>
    </row>
    <row r="31" spans="1:9" x14ac:dyDescent="0.25">
      <c r="A31" t="s">
        <v>133</v>
      </c>
      <c r="B31" t="s">
        <v>241</v>
      </c>
      <c r="C31">
        <v>-1.0775507656377681E-3</v>
      </c>
      <c r="D31">
        <v>-2.3299161335594838E-4</v>
      </c>
      <c r="E31">
        <v>-2.4702290020849636E-2</v>
      </c>
      <c r="F31">
        <v>-2.0971727139242457E-2</v>
      </c>
      <c r="G31">
        <v>5.4374106062752836E-3</v>
      </c>
      <c r="H31">
        <v>7.2247192155757284E-3</v>
      </c>
      <c r="I31">
        <v>-1.3659746430622923E-3</v>
      </c>
    </row>
    <row r="32" spans="1:9" x14ac:dyDescent="0.25">
      <c r="A32" t="s">
        <v>133</v>
      </c>
      <c r="B32" t="s">
        <v>242</v>
      </c>
      <c r="C32">
        <v>4.7413219624264256E-3</v>
      </c>
      <c r="D32">
        <v>4.6592895426490088E-4</v>
      </c>
      <c r="E32">
        <v>3.7950427065468695E-2</v>
      </c>
      <c r="F32">
        <v>6.0519990071372751E-2</v>
      </c>
      <c r="G32">
        <v>8.3279415743928373E-3</v>
      </c>
      <c r="H32">
        <v>9.8688714260272373E-3</v>
      </c>
      <c r="I32">
        <v>1.8244383711525643E-3</v>
      </c>
    </row>
    <row r="33" spans="1:9" x14ac:dyDescent="0.25">
      <c r="A33" t="s">
        <v>133</v>
      </c>
      <c r="B33" t="s">
        <v>243</v>
      </c>
      <c r="C33">
        <v>1.8159347753280762E-3</v>
      </c>
      <c r="D33">
        <v>-2.3293734090899741E-4</v>
      </c>
      <c r="E33">
        <v>-4.3377221864646015E-2</v>
      </c>
      <c r="F33">
        <v>-2.0787703260319382E-2</v>
      </c>
      <c r="G33">
        <v>-8.2442621335458485E-3</v>
      </c>
      <c r="H33">
        <v>-1.7135025102650192E-2</v>
      </c>
      <c r="I33">
        <v>1.4486426836498717E-3</v>
      </c>
    </row>
    <row r="34" spans="1:9" x14ac:dyDescent="0.25">
      <c r="A34" t="s">
        <v>133</v>
      </c>
      <c r="B34" t="s">
        <v>244</v>
      </c>
      <c r="C34">
        <v>-5.0621923693919988E-3</v>
      </c>
      <c r="D34">
        <v>-2.3299161335594838E-4</v>
      </c>
      <c r="E34">
        <v>-3.1663807766250128E-2</v>
      </c>
      <c r="F34">
        <v>-4.9839319645674729E-2</v>
      </c>
      <c r="G34">
        <v>2.2622679123293979E-3</v>
      </c>
      <c r="H34">
        <v>-3.7943777543216805E-3</v>
      </c>
      <c r="I34">
        <v>-1.565904096784229E-3</v>
      </c>
    </row>
    <row r="35" spans="1:9" x14ac:dyDescent="0.25">
      <c r="A35" t="s">
        <v>133</v>
      </c>
      <c r="B35" t="s">
        <v>245</v>
      </c>
      <c r="C35">
        <v>9.7725988458089302E-3</v>
      </c>
      <c r="D35">
        <v>1.1650259231441982E-4</v>
      </c>
      <c r="E35">
        <v>3.5934470541556039E-2</v>
      </c>
      <c r="F35">
        <v>8.6956629512366421E-2</v>
      </c>
      <c r="G35">
        <v>1.0736210148145093E-3</v>
      </c>
      <c r="H35">
        <v>2.3845835995220401E-3</v>
      </c>
      <c r="I35">
        <v>-4.8838710571988304E-3</v>
      </c>
    </row>
    <row r="36" spans="1:9" x14ac:dyDescent="0.25">
      <c r="A36" t="s">
        <v>133</v>
      </c>
      <c r="B36" t="s">
        <v>246</v>
      </c>
      <c r="C36">
        <v>1.9561396400402161E-3</v>
      </c>
      <c r="D36">
        <v>1.1648902104133439E-4</v>
      </c>
      <c r="E36">
        <v>2.6144371652107479E-2</v>
      </c>
      <c r="F36">
        <v>2.9288945789636998E-2</v>
      </c>
      <c r="G36">
        <v>-8.828932967595151E-3</v>
      </c>
      <c r="H36">
        <v>-1.042762316225905E-2</v>
      </c>
      <c r="I36">
        <v>8.3001308650442855E-3</v>
      </c>
    </row>
    <row r="37" spans="1:9" x14ac:dyDescent="0.25">
      <c r="A37" t="s">
        <v>133</v>
      </c>
      <c r="B37" t="s">
        <v>247</v>
      </c>
      <c r="C37">
        <v>1.8006100904686179E-3</v>
      </c>
      <c r="D37">
        <v>-5.8258084956786947E-4</v>
      </c>
      <c r="E37">
        <v>-1.9858366042071817E-2</v>
      </c>
      <c r="F37">
        <v>-2.0624609591700517E-2</v>
      </c>
      <c r="G37">
        <v>5.7273092297155659E-3</v>
      </c>
      <c r="H37">
        <v>6.9610405891143857E-3</v>
      </c>
      <c r="I37">
        <v>-2.5957185242816241E-3</v>
      </c>
    </row>
    <row r="38" spans="1:9" x14ac:dyDescent="0.25">
      <c r="A38" t="s">
        <v>133</v>
      </c>
      <c r="B38" t="s">
        <v>248</v>
      </c>
      <c r="C38">
        <v>3.6563112031107003E-3</v>
      </c>
      <c r="D38">
        <v>1.0484012842168139E-3</v>
      </c>
      <c r="E38">
        <v>3.5775828594630424E-2</v>
      </c>
      <c r="F38">
        <v>5.8420347603566208E-2</v>
      </c>
      <c r="G38">
        <v>-3.2231693700247579E-3</v>
      </c>
      <c r="H38">
        <v>-2.0936652803714827E-2</v>
      </c>
      <c r="I38">
        <v>2.2450519886208367E-3</v>
      </c>
    </row>
    <row r="39" spans="1:9" x14ac:dyDescent="0.25">
      <c r="A39" t="s">
        <v>133</v>
      </c>
      <c r="B39" t="s">
        <v>249</v>
      </c>
      <c r="C39">
        <v>6.4577458791398642E-3</v>
      </c>
      <c r="D39">
        <v>-2.3288309373999748E-4</v>
      </c>
      <c r="E39">
        <v>-4.0627771492367515E-3</v>
      </c>
      <c r="F39">
        <v>4.8727157968091279E-3</v>
      </c>
      <c r="G39">
        <v>-9.9865877209949858E-3</v>
      </c>
      <c r="H39">
        <v>-1.0635357180556054E-3</v>
      </c>
      <c r="I39">
        <v>-2.4048448973515934E-3</v>
      </c>
    </row>
    <row r="40" spans="1:9" x14ac:dyDescent="0.25">
      <c r="A40" t="s">
        <v>133</v>
      </c>
      <c r="B40" t="s">
        <v>250</v>
      </c>
      <c r="C40">
        <v>4.1752820085397572E-3</v>
      </c>
      <c r="D40">
        <v>9.3120714446484761E-4</v>
      </c>
      <c r="E40">
        <v>-2.4399041075615555E-2</v>
      </c>
      <c r="F40">
        <v>-1.5281480730530109E-2</v>
      </c>
      <c r="G40">
        <v>1.2456566456347396E-2</v>
      </c>
      <c r="H40">
        <v>1.1700246667141307E-2</v>
      </c>
      <c r="I40">
        <v>5.1325486853322378E-3</v>
      </c>
    </row>
    <row r="41" spans="1:9" x14ac:dyDescent="0.25">
      <c r="A41" t="s">
        <v>133</v>
      </c>
      <c r="B41" t="s">
        <v>251</v>
      </c>
      <c r="C41">
        <v>3.7109750828425141E-3</v>
      </c>
      <c r="D41">
        <v>4.6527859394674965E-4</v>
      </c>
      <c r="E41">
        <v>-5.3281558590374976E-3</v>
      </c>
      <c r="F41">
        <v>-1.1321735395884758E-2</v>
      </c>
      <c r="G41">
        <v>1.3873291960970017E-2</v>
      </c>
      <c r="H41">
        <v>1.666687864655618E-2</v>
      </c>
      <c r="I41">
        <v>-2.8621857753955478E-4</v>
      </c>
    </row>
    <row r="42" spans="1:9" x14ac:dyDescent="0.25">
      <c r="A42" t="s">
        <v>133</v>
      </c>
      <c r="B42" t="s">
        <v>252</v>
      </c>
      <c r="C42">
        <v>8.9369313974392854E-4</v>
      </c>
      <c r="D42">
        <v>-1.1636026446716894E-3</v>
      </c>
      <c r="E42">
        <v>0.10018520473478586</v>
      </c>
      <c r="F42">
        <v>7.011531176995707E-2</v>
      </c>
      <c r="G42">
        <v>4.1362435686928207E-3</v>
      </c>
      <c r="H42">
        <v>1.1059838546232686E-2</v>
      </c>
      <c r="I42">
        <v>-2.8773331808144517E-3</v>
      </c>
    </row>
    <row r="43" spans="1:9" x14ac:dyDescent="0.25">
      <c r="A43" t="s">
        <v>133</v>
      </c>
      <c r="B43" t="s">
        <v>253</v>
      </c>
      <c r="C43">
        <v>-3.5155412316447126E-3</v>
      </c>
      <c r="D43">
        <v>5.8197056871573359E-4</v>
      </c>
      <c r="E43">
        <v>-8.8451286443072732E-3</v>
      </c>
      <c r="F43">
        <v>-1.613475812193713E-2</v>
      </c>
      <c r="G43">
        <v>3.9499578128100767E-3</v>
      </c>
      <c r="H43">
        <v>-6.5314229950959165E-3</v>
      </c>
      <c r="I43">
        <v>-9.9997880718508082E-4</v>
      </c>
    </row>
    <row r="44" spans="1:9" x14ac:dyDescent="0.25">
      <c r="A44" t="s">
        <v>133</v>
      </c>
      <c r="B44" t="s">
        <v>254</v>
      </c>
      <c r="C44">
        <v>-8.2513139738967338E-3</v>
      </c>
      <c r="D44">
        <v>-1.9800833445189538E-3</v>
      </c>
      <c r="E44">
        <v>-2.9958181595179757E-2</v>
      </c>
      <c r="F44">
        <v>-2.1106743879012149E-2</v>
      </c>
      <c r="G44">
        <v>9.8287964750084587E-3</v>
      </c>
      <c r="H44">
        <v>1.4068783519911284E-2</v>
      </c>
      <c r="I44">
        <v>9.4807521399071799E-3</v>
      </c>
    </row>
    <row r="45" spans="1:9" x14ac:dyDescent="0.25">
      <c r="A45" t="s">
        <v>133</v>
      </c>
      <c r="B45" t="s">
        <v>255</v>
      </c>
      <c r="C45">
        <v>5.5938039324361026E-4</v>
      </c>
      <c r="D45">
        <v>-6.9979009153877932E-4</v>
      </c>
      <c r="E45">
        <v>-6.967164749942784E-4</v>
      </c>
      <c r="F45">
        <v>2.0116888033400157E-2</v>
      </c>
      <c r="G45">
        <v>6.4401786553580104E-3</v>
      </c>
      <c r="H45">
        <v>2.4292660080019107E-2</v>
      </c>
      <c r="I45">
        <v>3.4521262733499041E-3</v>
      </c>
    </row>
    <row r="46" spans="1:9" x14ac:dyDescent="0.25">
      <c r="A46" t="s">
        <v>133</v>
      </c>
      <c r="B46" t="s">
        <v>256</v>
      </c>
      <c r="C46">
        <v>7.200905507465793E-3</v>
      </c>
      <c r="D46">
        <v>8.1637417794300519E-4</v>
      </c>
      <c r="E46">
        <v>-1.2300445859798583E-2</v>
      </c>
      <c r="F46">
        <v>-1.346518984096237E-2</v>
      </c>
      <c r="G46">
        <v>1.3528169640665199E-3</v>
      </c>
      <c r="H46">
        <v>2.2132355716474417E-3</v>
      </c>
      <c r="I46">
        <v>-5.2546951909542147E-4</v>
      </c>
    </row>
    <row r="47" spans="1:9" x14ac:dyDescent="0.25">
      <c r="A47" t="s">
        <v>133</v>
      </c>
      <c r="B47" t="s">
        <v>257</v>
      </c>
      <c r="C47">
        <v>-2.1354517014921319E-5</v>
      </c>
      <c r="D47">
        <v>-1.1658408640427917E-4</v>
      </c>
      <c r="E47">
        <v>-9.3658575247830087E-3</v>
      </c>
      <c r="F47">
        <v>-2.3766142174147409E-2</v>
      </c>
      <c r="G47">
        <v>-8.4798072973438297E-4</v>
      </c>
      <c r="H47">
        <v>-9.7926614868465694E-3</v>
      </c>
      <c r="I47">
        <v>2.928597889184782E-3</v>
      </c>
    </row>
    <row r="48" spans="1:9" x14ac:dyDescent="0.25">
      <c r="A48" t="s">
        <v>133</v>
      </c>
      <c r="B48" t="s">
        <v>258</v>
      </c>
      <c r="C48">
        <v>3.8577581225869607E-3</v>
      </c>
      <c r="D48">
        <v>0</v>
      </c>
      <c r="E48">
        <v>-5.4922445250969579E-2</v>
      </c>
      <c r="F48">
        <v>-7.7801621572090751E-2</v>
      </c>
      <c r="G48">
        <v>-6.76120527268592E-3</v>
      </c>
      <c r="H48">
        <v>-9.5588136932367503E-3</v>
      </c>
      <c r="I48">
        <v>5.3104315638387405E-3</v>
      </c>
    </row>
    <row r="49" spans="1:9" x14ac:dyDescent="0.25">
      <c r="A49" t="s">
        <v>133</v>
      </c>
      <c r="B49" t="s">
        <v>259</v>
      </c>
      <c r="C49">
        <v>-2.598621211846805E-3</v>
      </c>
      <c r="D49">
        <v>3.4971149158654919E-4</v>
      </c>
      <c r="E49">
        <v>3.4309508643881417E-3</v>
      </c>
      <c r="F49">
        <v>1.6752283711094499E-2</v>
      </c>
      <c r="G49">
        <v>9.1744503262903478E-3</v>
      </c>
      <c r="H49">
        <v>1.0010013272850955E-2</v>
      </c>
      <c r="I49">
        <v>-9.0746474155845719E-4</v>
      </c>
    </row>
    <row r="50" spans="1:9" x14ac:dyDescent="0.25">
      <c r="A50" t="s">
        <v>133</v>
      </c>
      <c r="B50" t="s">
        <v>260</v>
      </c>
      <c r="C50">
        <v>3.3641389305627744E-3</v>
      </c>
      <c r="D50">
        <v>-1.1655690904260116E-4</v>
      </c>
      <c r="E50">
        <v>-5.8423760363338621E-2</v>
      </c>
      <c r="F50">
        <v>-6.9268657236965903E-2</v>
      </c>
      <c r="G50">
        <v>-4.563251794325999E-3</v>
      </c>
      <c r="H50">
        <v>-1.0836951329877368E-2</v>
      </c>
      <c r="I50">
        <v>-2.9680434806169877E-3</v>
      </c>
    </row>
    <row r="51" spans="1:9" x14ac:dyDescent="0.25">
      <c r="A51" t="s">
        <v>133</v>
      </c>
      <c r="B51" t="s">
        <v>261</v>
      </c>
      <c r="C51">
        <v>-1.3826112279622025E-3</v>
      </c>
      <c r="D51">
        <v>-2.3315458254389172E-4</v>
      </c>
      <c r="E51">
        <v>2.0466948154536875E-2</v>
      </c>
      <c r="F51">
        <v>7.1764071560903531E-2</v>
      </c>
      <c r="G51">
        <v>-7.4857359706839337E-3</v>
      </c>
      <c r="H51">
        <v>-7.770223140184925E-3</v>
      </c>
      <c r="I51">
        <v>5.0841816420117434E-3</v>
      </c>
    </row>
    <row r="52" spans="1:9" x14ac:dyDescent="0.25">
      <c r="A52" t="s">
        <v>133</v>
      </c>
      <c r="B52" t="s">
        <v>262</v>
      </c>
      <c r="C52">
        <v>-3.2193100963258071E-3</v>
      </c>
      <c r="D52">
        <v>-1.1665890263774343E-3</v>
      </c>
      <c r="E52">
        <v>-3.1998308179367448E-2</v>
      </c>
      <c r="F52">
        <v>-5.0053298746334074E-2</v>
      </c>
      <c r="G52">
        <v>-2.1679699615361096E-2</v>
      </c>
      <c r="H52">
        <v>-1.730341441193111E-2</v>
      </c>
      <c r="I52">
        <v>5.3692379962157278E-3</v>
      </c>
    </row>
    <row r="53" spans="1:9" x14ac:dyDescent="0.25">
      <c r="A53" t="s">
        <v>133</v>
      </c>
      <c r="B53" t="s">
        <v>263</v>
      </c>
      <c r="C53">
        <v>1.6642489119060174E-3</v>
      </c>
      <c r="D53">
        <v>0</v>
      </c>
      <c r="E53">
        <v>2.2481290424472854E-2</v>
      </c>
      <c r="F53">
        <v>5.9882469719926106E-2</v>
      </c>
      <c r="G53">
        <v>-8.5179817174770214E-3</v>
      </c>
      <c r="H53">
        <v>-2.1519788671499264E-2</v>
      </c>
      <c r="I53">
        <v>-5.9055425749802624E-4</v>
      </c>
    </row>
    <row r="54" spans="1:9" x14ac:dyDescent="0.25">
      <c r="A54" t="s">
        <v>133</v>
      </c>
      <c r="B54" t="s">
        <v>264</v>
      </c>
      <c r="C54">
        <v>2.2997816826933258E-3</v>
      </c>
      <c r="D54">
        <v>-2.3348120582365519E-4</v>
      </c>
      <c r="E54">
        <v>-2.2638707798781611E-2</v>
      </c>
      <c r="F54">
        <v>-2.3491357763485383E-2</v>
      </c>
      <c r="G54">
        <v>-6.8749076970791656E-4</v>
      </c>
      <c r="H54">
        <v>-5.1884969326465198E-3</v>
      </c>
      <c r="I54">
        <v>3.9717479266559563E-3</v>
      </c>
    </row>
    <row r="55" spans="1:9" x14ac:dyDescent="0.25">
      <c r="A55" t="s">
        <v>133</v>
      </c>
      <c r="B55" t="s">
        <v>265</v>
      </c>
      <c r="C55">
        <v>-2.2999905859060917E-2</v>
      </c>
      <c r="D55">
        <v>1.9828547932495967E-3</v>
      </c>
      <c r="E55">
        <v>-4.9362017461494913E-2</v>
      </c>
      <c r="F55">
        <v>-5.0567037432572313E-2</v>
      </c>
      <c r="G55">
        <v>1.8490024288520439E-3</v>
      </c>
      <c r="H55">
        <v>-1.7102860087342589E-2</v>
      </c>
      <c r="I55">
        <v>-8.6254798237332102E-3</v>
      </c>
    </row>
    <row r="56" spans="1:9" x14ac:dyDescent="0.25">
      <c r="A56" t="s">
        <v>133</v>
      </c>
      <c r="B56" t="s">
        <v>266</v>
      </c>
      <c r="C56">
        <v>1.3124654607853083E-2</v>
      </c>
      <c r="D56">
        <v>4.659832330360586E-4</v>
      </c>
      <c r="E56">
        <v>7.6117567822670484E-2</v>
      </c>
      <c r="F56">
        <v>9.7811580992016506E-2</v>
      </c>
      <c r="G56">
        <v>-3.8022646889812241E-3</v>
      </c>
      <c r="H56">
        <v>-1.0451958992916616E-2</v>
      </c>
      <c r="I56">
        <v>3.097973202930788E-3</v>
      </c>
    </row>
    <row r="57" spans="1:9" x14ac:dyDescent="0.25">
      <c r="A57" t="s">
        <v>133</v>
      </c>
      <c r="B57" t="s">
        <v>267</v>
      </c>
      <c r="C57">
        <v>-1.9149821280924809E-2</v>
      </c>
      <c r="D57">
        <v>-8.1561321154058623E-4</v>
      </c>
      <c r="E57">
        <v>-1.3955924513912503E-2</v>
      </c>
      <c r="F57">
        <v>4.1072718845707512E-2</v>
      </c>
      <c r="G57">
        <v>-6.3111547884805936E-3</v>
      </c>
      <c r="H57">
        <v>-4.0097759050879908E-3</v>
      </c>
      <c r="I57">
        <v>-3.6082915380788705E-3</v>
      </c>
    </row>
    <row r="58" spans="1:9" x14ac:dyDescent="0.25">
      <c r="A58" t="s">
        <v>133</v>
      </c>
      <c r="B58" t="s">
        <v>268</v>
      </c>
      <c r="C58">
        <v>-1.1894413357997782E-2</v>
      </c>
      <c r="D58">
        <v>-4.6636353882465484E-4</v>
      </c>
      <c r="E58">
        <v>3.9288171373714461E-3</v>
      </c>
      <c r="F58">
        <v>-9.6521471392167889E-3</v>
      </c>
      <c r="G58">
        <v>4.9937681804869743E-3</v>
      </c>
      <c r="H58">
        <v>-2.1839140595809037E-2</v>
      </c>
      <c r="I58">
        <v>3.541260934198249E-4</v>
      </c>
    </row>
    <row r="59" spans="1:9" x14ac:dyDescent="0.25">
      <c r="A59" t="s">
        <v>133</v>
      </c>
      <c r="B59" t="s">
        <v>269</v>
      </c>
      <c r="C59">
        <v>1.4103488960265117E-2</v>
      </c>
      <c r="D59">
        <v>-1.283622324567217E-3</v>
      </c>
      <c r="E59">
        <v>-1.3227314141794424E-2</v>
      </c>
      <c r="F59">
        <v>-1.6638152462012973E-2</v>
      </c>
      <c r="G59">
        <v>-7.895741186051658E-3</v>
      </c>
      <c r="H59">
        <v>3.0885774136105563E-3</v>
      </c>
      <c r="I59">
        <v>1.3320569758843959E-3</v>
      </c>
    </row>
    <row r="60" spans="1:9" x14ac:dyDescent="0.25">
      <c r="A60" t="s">
        <v>133</v>
      </c>
      <c r="B60" t="s">
        <v>270</v>
      </c>
      <c r="C60">
        <v>-8.4910827749088268E-3</v>
      </c>
      <c r="D60">
        <v>5.836689595454216E-4</v>
      </c>
      <c r="E60">
        <v>-5.2331597612583595E-2</v>
      </c>
      <c r="F60">
        <v>-6.6583516083106045E-2</v>
      </c>
      <c r="G60">
        <v>8.5013939636498729E-3</v>
      </c>
      <c r="H60">
        <v>5.9887622678279472E-3</v>
      </c>
      <c r="I60">
        <v>-4.0567318900583215E-4</v>
      </c>
    </row>
    <row r="61" spans="1:9" x14ac:dyDescent="0.25">
      <c r="A61" t="s">
        <v>133</v>
      </c>
      <c r="B61" t="s">
        <v>271</v>
      </c>
      <c r="C61">
        <v>1.1675798842428595E-2</v>
      </c>
      <c r="D61">
        <v>-8.1723196422734843E-4</v>
      </c>
      <c r="E61">
        <v>-5.7908206715156216E-2</v>
      </c>
      <c r="F61">
        <v>3.2180065796360485E-2</v>
      </c>
      <c r="G61">
        <v>-3.1612811818069629E-3</v>
      </c>
      <c r="H61">
        <v>-7.0127546304107925E-3</v>
      </c>
      <c r="I61">
        <v>2.1928351949898331E-3</v>
      </c>
    </row>
    <row r="62" spans="1:9" x14ac:dyDescent="0.25">
      <c r="A62" t="s">
        <v>133</v>
      </c>
      <c r="B62" t="s">
        <v>272</v>
      </c>
      <c r="C62">
        <v>2.0499720939214695E-2</v>
      </c>
      <c r="D62">
        <v>-1.2855725489361591E-3</v>
      </c>
      <c r="E62">
        <v>2.3194283171643795E-3</v>
      </c>
      <c r="F62">
        <v>-1.0070874401389984E-2</v>
      </c>
      <c r="G62">
        <v>3.3294529865185271E-3</v>
      </c>
      <c r="H62">
        <v>5.2652836826316491E-3</v>
      </c>
      <c r="I62">
        <v>4.2553854620160027E-4</v>
      </c>
    </row>
    <row r="63" spans="1:9" x14ac:dyDescent="0.25">
      <c r="A63" t="s">
        <v>133</v>
      </c>
      <c r="B63" t="s">
        <v>273</v>
      </c>
      <c r="C63">
        <v>3.0677484646984532E-3</v>
      </c>
      <c r="D63">
        <v>3.5077463089862256E-4</v>
      </c>
      <c r="E63">
        <v>-3.859281101900276E-3</v>
      </c>
      <c r="F63">
        <v>2.839811767136776E-2</v>
      </c>
      <c r="G63">
        <v>-1.1104569156579717E-3</v>
      </c>
      <c r="H63">
        <v>-3.4326761745435115E-3</v>
      </c>
      <c r="I63">
        <v>-4.9411583760631166E-3</v>
      </c>
    </row>
    <row r="64" spans="1:9" x14ac:dyDescent="0.25">
      <c r="A64" t="s">
        <v>133</v>
      </c>
      <c r="B64" t="s">
        <v>274</v>
      </c>
      <c r="C64">
        <v>-7.2156238179156501E-3</v>
      </c>
      <c r="D64">
        <v>-3.5077463089865183E-4</v>
      </c>
      <c r="E64">
        <v>-5.7721502136015325E-2</v>
      </c>
      <c r="F64">
        <v>-7.4701251558092138E-2</v>
      </c>
      <c r="G64">
        <v>-4.273847226118524E-3</v>
      </c>
      <c r="H64">
        <v>-2.0961249385051069E-2</v>
      </c>
      <c r="I64">
        <v>3.9237164278277383E-3</v>
      </c>
    </row>
    <row r="65" spans="1:9" x14ac:dyDescent="0.25">
      <c r="A65" t="s">
        <v>133</v>
      </c>
      <c r="B65" t="s">
        <v>275</v>
      </c>
      <c r="C65">
        <v>9.5102748906392247E-3</v>
      </c>
      <c r="D65">
        <v>4.676721703384542E-4</v>
      </c>
      <c r="E65">
        <v>-9.0358255230363598E-3</v>
      </c>
      <c r="F65">
        <v>-5.2655759671920897E-2</v>
      </c>
      <c r="G65">
        <v>4.5263320994079221E-3</v>
      </c>
      <c r="H65">
        <v>1.0619022878843087E-2</v>
      </c>
      <c r="I65">
        <v>-1.8090331807027881E-3</v>
      </c>
    </row>
    <row r="66" spans="1:9" x14ac:dyDescent="0.25">
      <c r="A66" t="s">
        <v>133</v>
      </c>
      <c r="B66" t="s">
        <v>276</v>
      </c>
      <c r="C66">
        <v>-9.1675303604856553E-3</v>
      </c>
      <c r="D66">
        <v>5.8428280949387036E-4</v>
      </c>
      <c r="E66">
        <v>-1.076450488753493E-2</v>
      </c>
      <c r="F66">
        <v>-3.2311110732743294E-2</v>
      </c>
      <c r="G66">
        <v>2.4821763994504619E-3</v>
      </c>
      <c r="H66">
        <v>6.6377894776430491E-3</v>
      </c>
      <c r="I66">
        <v>2.2867368888752166E-3</v>
      </c>
    </row>
    <row r="67" spans="1:9" x14ac:dyDescent="0.25">
      <c r="A67" t="s">
        <v>133</v>
      </c>
      <c r="B67" t="s">
        <v>277</v>
      </c>
      <c r="C67">
        <v>-7.5029105826218854E-3</v>
      </c>
      <c r="D67">
        <v>-5.8428280949391243E-4</v>
      </c>
      <c r="E67">
        <v>-2.674850701199397E-3</v>
      </c>
      <c r="F67">
        <v>-1.0302375945576052E-2</v>
      </c>
      <c r="G67">
        <v>-9.4234234577899711E-3</v>
      </c>
      <c r="H67">
        <v>-1.7384508221594052E-2</v>
      </c>
      <c r="I67">
        <v>2.6336542119243939E-3</v>
      </c>
    </row>
    <row r="68" spans="1:9" x14ac:dyDescent="0.25">
      <c r="A68" t="s">
        <v>133</v>
      </c>
      <c r="B68" t="s">
        <v>278</v>
      </c>
      <c r="C68">
        <v>1.6224670974253043E-2</v>
      </c>
      <c r="D68">
        <v>3.5061065046821185E-4</v>
      </c>
      <c r="E68">
        <v>4.7838725835428655E-2</v>
      </c>
      <c r="F68">
        <v>7.0341770396422157E-2</v>
      </c>
      <c r="G68">
        <v>3.8790770441702684E-3</v>
      </c>
      <c r="H68">
        <v>5.653137120319696E-3</v>
      </c>
      <c r="I68">
        <v>-6.2149762206005672E-4</v>
      </c>
    </row>
    <row r="69" spans="1:9" x14ac:dyDescent="0.25">
      <c r="A69" t="s">
        <v>133</v>
      </c>
      <c r="B69" t="s">
        <v>279</v>
      </c>
      <c r="C69">
        <v>-8.7860160434733627E-3</v>
      </c>
      <c r="D69">
        <v>5.8407804942977887E-4</v>
      </c>
      <c r="E69">
        <v>-2.5504020607964754E-2</v>
      </c>
      <c r="F69">
        <v>-1.4013500224573924E-2</v>
      </c>
      <c r="G69">
        <v>1.2287317385842151E-2</v>
      </c>
      <c r="H69">
        <v>1.8423347417442025E-2</v>
      </c>
      <c r="I69">
        <v>-4.8713956933053278E-3</v>
      </c>
    </row>
    <row r="70" spans="1:9" x14ac:dyDescent="0.25">
      <c r="A70" t="s">
        <v>133</v>
      </c>
      <c r="B70" t="s">
        <v>280</v>
      </c>
      <c r="C70">
        <v>-1.0356093545835289E-2</v>
      </c>
      <c r="D70">
        <v>-4.6723514458231892E-4</v>
      </c>
      <c r="E70">
        <v>-3.1180124415429972E-2</v>
      </c>
      <c r="F70">
        <v>-2.1164631958642825E-2</v>
      </c>
      <c r="G70">
        <v>-7.506860788870684E-4</v>
      </c>
      <c r="H70">
        <v>-5.0304409174031133E-3</v>
      </c>
      <c r="I70">
        <v>5.4307609319471867E-3</v>
      </c>
    </row>
    <row r="71" spans="1:9" x14ac:dyDescent="0.25">
      <c r="A71" t="s">
        <v>133</v>
      </c>
      <c r="B71" t="s">
        <v>281</v>
      </c>
      <c r="C71">
        <v>-1.1449094437413335E-2</v>
      </c>
      <c r="D71">
        <v>2.336448608759212E-4</v>
      </c>
      <c r="E71">
        <v>1.4570905342836775E-2</v>
      </c>
      <c r="F71">
        <v>1.391435502240285E-2</v>
      </c>
      <c r="G71">
        <v>-4.6612852728606579E-3</v>
      </c>
      <c r="H71">
        <v>-5.1638199514139936E-3</v>
      </c>
      <c r="I71">
        <v>-1.4499057586655443E-4</v>
      </c>
    </row>
    <row r="72" spans="1:9" x14ac:dyDescent="0.25">
      <c r="A72" t="s">
        <v>133</v>
      </c>
      <c r="B72" t="s">
        <v>282</v>
      </c>
      <c r="C72">
        <v>1.7619689433706731E-2</v>
      </c>
      <c r="D72">
        <v>-5.8421454018942748E-4</v>
      </c>
      <c r="E72">
        <v>4.2928776114053067E-2</v>
      </c>
      <c r="F72">
        <v>2.1729386936252568E-2</v>
      </c>
      <c r="G72">
        <v>-5.366606421147186E-4</v>
      </c>
      <c r="H72">
        <v>1.1529077529744301E-2</v>
      </c>
      <c r="I72">
        <v>-6.2162640184098682E-4</v>
      </c>
    </row>
    <row r="73" spans="1:9" x14ac:dyDescent="0.25">
      <c r="A73" t="s">
        <v>133</v>
      </c>
      <c r="B73" t="s">
        <v>283</v>
      </c>
      <c r="C73">
        <v>1.0143680890162198E-2</v>
      </c>
      <c r="D73">
        <v>-1.1688387600245239E-4</v>
      </c>
      <c r="E73">
        <v>-6.3158890726518644E-3</v>
      </c>
      <c r="F73">
        <v>-9.5373865183826408E-3</v>
      </c>
      <c r="G73">
        <v>8.3747733171048062E-3</v>
      </c>
      <c r="H73">
        <v>1.2491684149817252E-2</v>
      </c>
      <c r="I73">
        <v>-4.310194815117227E-3</v>
      </c>
    </row>
    <row r="74" spans="1:9" x14ac:dyDescent="0.25">
      <c r="A74" t="s">
        <v>133</v>
      </c>
      <c r="B74" t="s">
        <v>284</v>
      </c>
      <c r="C74">
        <v>6.1980161057526928E-3</v>
      </c>
      <c r="D74">
        <v>-1.1689753943981361E-4</v>
      </c>
      <c r="E74">
        <v>4.3381958813853573E-2</v>
      </c>
      <c r="F74">
        <v>3.1130867746884151E-2</v>
      </c>
      <c r="G74">
        <v>2.4977098862498095E-3</v>
      </c>
      <c r="H74">
        <v>5.1376838434339257E-3</v>
      </c>
      <c r="I74">
        <v>-5.9345638015449623E-4</v>
      </c>
    </row>
    <row r="75" spans="1:9" x14ac:dyDescent="0.25">
      <c r="A75" t="s">
        <v>133</v>
      </c>
      <c r="B75" t="s">
        <v>285</v>
      </c>
      <c r="C75">
        <v>1.3744043184784961E-2</v>
      </c>
      <c r="D75">
        <v>-3.5077463089865183E-4</v>
      </c>
      <c r="E75">
        <v>-2.8418936673122361E-3</v>
      </c>
      <c r="F75">
        <v>-1.7302567418616983E-2</v>
      </c>
      <c r="G75">
        <v>1.65247729524061E-3</v>
      </c>
      <c r="H75">
        <v>6.5317018632150593E-3</v>
      </c>
      <c r="I75">
        <v>7.703839808013243E-4</v>
      </c>
    </row>
    <row r="76" spans="1:9" x14ac:dyDescent="0.25">
      <c r="A76" t="s">
        <v>133</v>
      </c>
      <c r="B76" t="s">
        <v>286</v>
      </c>
      <c r="C76">
        <v>-1.0023388744306253E-3</v>
      </c>
      <c r="D76">
        <v>0</v>
      </c>
      <c r="E76">
        <v>-6.2151457539502096E-2</v>
      </c>
      <c r="F76">
        <v>-6.0401439222271598E-2</v>
      </c>
      <c r="G76">
        <v>-3.0584023375211529E-3</v>
      </c>
      <c r="H76">
        <v>-2.0681092867515993E-3</v>
      </c>
      <c r="I76">
        <v>1.1336749439566074E-3</v>
      </c>
    </row>
    <row r="77" spans="1:9" x14ac:dyDescent="0.25">
      <c r="A77" t="s">
        <v>133</v>
      </c>
      <c r="B77" t="s">
        <v>287</v>
      </c>
      <c r="C77">
        <v>1.3988206258137206E-3</v>
      </c>
      <c r="D77">
        <v>-1.1695222514941287E-4</v>
      </c>
      <c r="E77">
        <v>-2.4336007053514502E-2</v>
      </c>
      <c r="F77">
        <v>-4.6407993526963488E-2</v>
      </c>
      <c r="G77">
        <v>-9.4762311644031223E-4</v>
      </c>
      <c r="H77">
        <v>-8.0918355477809893E-3</v>
      </c>
      <c r="I77">
        <v>-2.8418129685133693E-3</v>
      </c>
    </row>
    <row r="78" spans="1:9" x14ac:dyDescent="0.25">
      <c r="A78" t="s">
        <v>133</v>
      </c>
      <c r="B78" t="s">
        <v>288</v>
      </c>
      <c r="C78">
        <v>-3.0088407329334397E-3</v>
      </c>
      <c r="D78">
        <v>5.8462439548787883E-4</v>
      </c>
      <c r="E78">
        <v>1.5667766214394967E-2</v>
      </c>
      <c r="F78">
        <v>2.3241588641372924E-2</v>
      </c>
      <c r="G78">
        <v>6.2730435323110866E-3</v>
      </c>
      <c r="H78">
        <v>9.7996368758599631E-3</v>
      </c>
      <c r="I78">
        <v>4.0646805877062676E-4</v>
      </c>
    </row>
    <row r="79" spans="1:9" x14ac:dyDescent="0.25">
      <c r="A79" t="s">
        <v>133</v>
      </c>
      <c r="B79" t="s">
        <v>289</v>
      </c>
      <c r="C79">
        <v>-2.6192012794386305E-3</v>
      </c>
      <c r="D79">
        <v>-1.1689753943981361E-4</v>
      </c>
      <c r="E79">
        <v>-1.8649173138162129E-2</v>
      </c>
      <c r="F79">
        <v>-8.441696896676119E-3</v>
      </c>
      <c r="G79">
        <v>7.3448208542431451E-3</v>
      </c>
      <c r="H79">
        <v>1.0203200422282028E-2</v>
      </c>
      <c r="I79">
        <v>-3.8629032301717896E-3</v>
      </c>
    </row>
    <row r="80" spans="1:9" x14ac:dyDescent="0.25">
      <c r="A80" t="s">
        <v>133</v>
      </c>
      <c r="B80" t="s">
        <v>290</v>
      </c>
      <c r="C80">
        <v>6.3579918868015206E-3</v>
      </c>
      <c r="D80">
        <v>-1.1697275868780125E-3</v>
      </c>
      <c r="E80">
        <v>3.2700196347626568E-3</v>
      </c>
      <c r="F80">
        <v>2.1158024412128634E-2</v>
      </c>
      <c r="G80">
        <v>-1.5177022535236404E-2</v>
      </c>
      <c r="H80">
        <v>-1.7694818869293735E-2</v>
      </c>
      <c r="I80">
        <v>6.4125843404392738E-3</v>
      </c>
    </row>
    <row r="81" spans="1:9" x14ac:dyDescent="0.25">
      <c r="A81" t="s">
        <v>133</v>
      </c>
      <c r="B81" t="s">
        <v>291</v>
      </c>
      <c r="C81">
        <v>-6.4650005901371378E-4</v>
      </c>
      <c r="D81">
        <v>5.8503482625758417E-4</v>
      </c>
      <c r="E81">
        <v>-1.2138894707967607E-2</v>
      </c>
      <c r="F81">
        <v>8.6498262241377251E-3</v>
      </c>
      <c r="G81">
        <v>7.5842384223670971E-3</v>
      </c>
      <c r="H81">
        <v>7.400435610163552E-3</v>
      </c>
      <c r="I81">
        <v>5.0915704438059164E-4</v>
      </c>
    </row>
    <row r="82" spans="1:9" x14ac:dyDescent="0.25">
      <c r="A82" t="s">
        <v>133</v>
      </c>
      <c r="B82" t="s">
        <v>292</v>
      </c>
      <c r="C82">
        <v>-1.9570673392223188E-2</v>
      </c>
      <c r="D82">
        <v>-1.2875287083263425E-3</v>
      </c>
      <c r="E82">
        <v>-5.206633631100601E-2</v>
      </c>
      <c r="F82">
        <v>-6.6379232166095883E-2</v>
      </c>
      <c r="G82">
        <v>-2.7758710351407463E-3</v>
      </c>
      <c r="H82">
        <v>-1.1200330174093802E-2</v>
      </c>
      <c r="I82">
        <v>-9.4578379782402587E-4</v>
      </c>
    </row>
    <row r="83" spans="1:9" x14ac:dyDescent="0.25">
      <c r="A83" t="s">
        <v>133</v>
      </c>
      <c r="B83" t="s">
        <v>293</v>
      </c>
      <c r="C83">
        <v>-9.5778312471516249E-4</v>
      </c>
      <c r="D83">
        <v>-8.2020040921255955E-4</v>
      </c>
      <c r="E83">
        <v>-9.4103138585239603E-3</v>
      </c>
      <c r="F83">
        <v>-3.7881560346308761E-2</v>
      </c>
      <c r="G83">
        <v>-1.1589225400049023E-2</v>
      </c>
      <c r="H83">
        <v>-2.7656743264681895E-2</v>
      </c>
      <c r="I83">
        <v>1.5481246370882239E-3</v>
      </c>
    </row>
    <row r="84" spans="1:9" x14ac:dyDescent="0.25">
      <c r="A84" t="s">
        <v>133</v>
      </c>
      <c r="B84" t="s">
        <v>294</v>
      </c>
      <c r="C84">
        <v>-4.0754982742266643E-3</v>
      </c>
      <c r="D84">
        <v>-2.344665895851989E-4</v>
      </c>
      <c r="E84">
        <v>-3.7847987735386703E-2</v>
      </c>
      <c r="F84">
        <v>-6.8148186131270563E-2</v>
      </c>
      <c r="G84">
        <v>3.8780176436175925E-3</v>
      </c>
      <c r="H84">
        <v>6.663406872679265E-3</v>
      </c>
      <c r="I84">
        <v>-6.2591657123943862E-3</v>
      </c>
    </row>
    <row r="85" spans="1:9" x14ac:dyDescent="0.25">
      <c r="A85" t="s">
        <v>133</v>
      </c>
      <c r="B85" t="s">
        <v>295</v>
      </c>
      <c r="C85">
        <v>-1.4335692975388575E-3</v>
      </c>
      <c r="D85">
        <v>-5.8640710060185719E-4</v>
      </c>
      <c r="E85">
        <v>6.3172341935727166E-3</v>
      </c>
      <c r="F85">
        <v>-3.5091912693365389E-2</v>
      </c>
      <c r="G85">
        <v>3.2137562967123473E-3</v>
      </c>
      <c r="H85">
        <v>6.7618405044731792E-3</v>
      </c>
      <c r="I85">
        <v>2.837621224913951E-3</v>
      </c>
    </row>
    <row r="86" spans="1:9" x14ac:dyDescent="0.25">
      <c r="A86" t="s">
        <v>133</v>
      </c>
      <c r="B86" t="s">
        <v>296</v>
      </c>
      <c r="C86">
        <v>9.122556178201114E-3</v>
      </c>
      <c r="D86">
        <v>3.5188552354189828E-4</v>
      </c>
      <c r="E86">
        <v>2.163334510569704E-2</v>
      </c>
      <c r="F86">
        <v>4.9055416531157352E-2</v>
      </c>
      <c r="G86">
        <v>1.1370595706885785E-2</v>
      </c>
      <c r="H86">
        <v>1.3779105567994091E-2</v>
      </c>
      <c r="I86">
        <v>-3.830602497350474E-3</v>
      </c>
    </row>
    <row r="87" spans="1:9" x14ac:dyDescent="0.25">
      <c r="A87" t="s">
        <v>133</v>
      </c>
      <c r="B87" t="s">
        <v>297</v>
      </c>
      <c r="C87">
        <v>2.8179477305119447E-3</v>
      </c>
      <c r="D87">
        <v>-3.5188552354189486E-4</v>
      </c>
      <c r="E87">
        <v>2.7993918897847716E-2</v>
      </c>
      <c r="F87">
        <v>4.059231066947952E-2</v>
      </c>
      <c r="G87">
        <v>1.8150268326056905E-3</v>
      </c>
      <c r="H87">
        <v>1.5228665372696671E-2</v>
      </c>
      <c r="I87">
        <v>-7.4420803331744674E-3</v>
      </c>
    </row>
    <row r="88" spans="1:9" x14ac:dyDescent="0.25">
      <c r="A88" t="s">
        <v>133</v>
      </c>
      <c r="B88" t="s">
        <v>298</v>
      </c>
      <c r="C88">
        <v>-1.4362980520263828E-2</v>
      </c>
      <c r="D88">
        <v>4.6915318711818747E-4</v>
      </c>
      <c r="E88">
        <v>-3.137576234756561E-2</v>
      </c>
      <c r="F88">
        <v>-3.7454411497470877E-2</v>
      </c>
      <c r="G88">
        <v>-1.771120243866242E-3</v>
      </c>
      <c r="H88">
        <v>-1.7582003333993486E-3</v>
      </c>
      <c r="I88">
        <v>-1.3178357775549114E-3</v>
      </c>
    </row>
    <row r="89" spans="1:9" x14ac:dyDescent="0.25">
      <c r="A89" t="s">
        <v>133</v>
      </c>
      <c r="B89" t="s">
        <v>299</v>
      </c>
      <c r="C89">
        <v>8.3673934016515654E-4</v>
      </c>
      <c r="D89">
        <v>-1.2907012645449211E-3</v>
      </c>
      <c r="E89">
        <v>1.1859633160531203E-2</v>
      </c>
      <c r="F89">
        <v>1.882038441204275E-2</v>
      </c>
      <c r="G89">
        <v>-2.6763330998930135E-3</v>
      </c>
      <c r="H89">
        <v>-5.2714385123055277E-3</v>
      </c>
      <c r="I89">
        <v>3.9483086747970986E-3</v>
      </c>
    </row>
    <row r="90" spans="1:9" x14ac:dyDescent="0.25">
      <c r="A90" t="s">
        <v>133</v>
      </c>
      <c r="B90" t="s">
        <v>300</v>
      </c>
      <c r="C90">
        <v>-1.8571962369695657E-2</v>
      </c>
      <c r="D90">
        <v>-1.5275251192969448E-3</v>
      </c>
      <c r="E90">
        <v>-1.6942532606735967E-2</v>
      </c>
      <c r="F90">
        <v>-4.5103587815310597E-2</v>
      </c>
      <c r="G90">
        <v>-2.0271244919328251E-3</v>
      </c>
      <c r="H90">
        <v>2.1552372575034499E-2</v>
      </c>
      <c r="I90">
        <v>5.9403936926206782E-3</v>
      </c>
    </row>
    <row r="91" spans="1:9" x14ac:dyDescent="0.25">
      <c r="A91" t="s">
        <v>133</v>
      </c>
      <c r="B91" t="s">
        <v>301</v>
      </c>
      <c r="C91">
        <v>-9.725759711014071E-3</v>
      </c>
      <c r="D91">
        <v>4.70256298343931E-4</v>
      </c>
      <c r="E91">
        <v>-1.5009870021823031E-2</v>
      </c>
      <c r="F91">
        <v>-2.1790331070056165E-2</v>
      </c>
      <c r="G91">
        <v>1.44630959603384E-2</v>
      </c>
      <c r="H91">
        <v>2.8307445485662028E-2</v>
      </c>
      <c r="I91">
        <v>-2.3216667857219441E-3</v>
      </c>
    </row>
    <row r="92" spans="1:9" x14ac:dyDescent="0.25">
      <c r="A92" t="s">
        <v>133</v>
      </c>
      <c r="B92" t="s">
        <v>302</v>
      </c>
      <c r="C92">
        <v>-1.1114306633587381E-2</v>
      </c>
      <c r="D92">
        <v>-2.3510050654896417E-4</v>
      </c>
      <c r="E92">
        <v>-2.5816736430002925E-2</v>
      </c>
      <c r="F92">
        <v>-3.1069135199579455E-2</v>
      </c>
      <c r="G92">
        <v>-8.6996242899555279E-4</v>
      </c>
      <c r="H92">
        <v>1.2625416143420547E-2</v>
      </c>
      <c r="I92">
        <v>2.3530037785221762E-3</v>
      </c>
    </row>
    <row r="93" spans="1:9" x14ac:dyDescent="0.25">
      <c r="A93" t="s">
        <v>133</v>
      </c>
      <c r="B93" t="s">
        <v>303</v>
      </c>
      <c r="C93">
        <v>-1.9098389194465278E-2</v>
      </c>
      <c r="D93">
        <v>8.226100704781282E-4</v>
      </c>
      <c r="E93">
        <v>-0.10960468426128968</v>
      </c>
      <c r="F93">
        <v>-0.15978659288768002</v>
      </c>
      <c r="G93">
        <v>-2.7889766416709463E-3</v>
      </c>
      <c r="H93">
        <v>-8.2038421168918862E-3</v>
      </c>
      <c r="I93">
        <v>-9.7190370128726381E-4</v>
      </c>
    </row>
    <row r="94" spans="1:9" x14ac:dyDescent="0.25">
      <c r="A94" t="s">
        <v>133</v>
      </c>
      <c r="B94" t="s">
        <v>304</v>
      </c>
      <c r="C94">
        <v>2.770210672563203E-3</v>
      </c>
      <c r="D94">
        <v>5.8716459910196708E-4</v>
      </c>
      <c r="E94">
        <v>5.3893344417981319E-3</v>
      </c>
      <c r="F94">
        <v>-4.7056547479350078E-2</v>
      </c>
      <c r="G94">
        <v>5.3423405901126602E-3</v>
      </c>
      <c r="H94">
        <v>-1.1456020094407987E-2</v>
      </c>
      <c r="I94">
        <v>2.8816056690746192E-3</v>
      </c>
    </row>
    <row r="95" spans="1:9" x14ac:dyDescent="0.25">
      <c r="A95" t="s">
        <v>133</v>
      </c>
      <c r="B95" t="s">
        <v>305</v>
      </c>
      <c r="C95">
        <v>-1.2251336719231336E-2</v>
      </c>
      <c r="D95">
        <v>-4.69704095061227E-4</v>
      </c>
      <c r="E95">
        <v>8.1424067555898628E-3</v>
      </c>
      <c r="F95">
        <v>6.3651039469554875E-3</v>
      </c>
      <c r="G95">
        <v>2.4386158586186227E-3</v>
      </c>
      <c r="H95">
        <v>-5.8279907723448746E-3</v>
      </c>
      <c r="I95">
        <v>3.1271825382781735E-4</v>
      </c>
    </row>
    <row r="96" spans="1:9" x14ac:dyDescent="0.25">
      <c r="A96" t="s">
        <v>133</v>
      </c>
      <c r="B96" t="s">
        <v>306</v>
      </c>
      <c r="C96">
        <v>-1.4931718887884976E-3</v>
      </c>
      <c r="D96">
        <v>-1.7633578894715109E-3</v>
      </c>
      <c r="E96">
        <v>-2.7607325080347619E-3</v>
      </c>
      <c r="F96">
        <v>4.9128454213745905E-3</v>
      </c>
      <c r="G96">
        <v>-1.6062849454618673E-2</v>
      </c>
      <c r="H96">
        <v>-1.4098379276337154E-2</v>
      </c>
      <c r="I96">
        <v>4.5960837490931373E-3</v>
      </c>
    </row>
    <row r="97" spans="1:9" x14ac:dyDescent="0.25">
      <c r="A97" t="s">
        <v>133</v>
      </c>
      <c r="B97" t="s">
        <v>307</v>
      </c>
      <c r="C97">
        <v>-5.39395526594935E-3</v>
      </c>
      <c r="D97">
        <v>-8.2396567547947787E-4</v>
      </c>
      <c r="E97">
        <v>7.7337955749726987E-3</v>
      </c>
      <c r="F97">
        <v>-1.8413410864305202E-2</v>
      </c>
      <c r="G97">
        <v>-1.1957106242592776E-2</v>
      </c>
      <c r="H97">
        <v>-3.2100164687277319E-2</v>
      </c>
      <c r="I97">
        <v>8.9339332627786632E-3</v>
      </c>
    </row>
    <row r="98" spans="1:9" x14ac:dyDescent="0.25">
      <c r="A98" t="s">
        <v>133</v>
      </c>
      <c r="B98" t="s">
        <v>308</v>
      </c>
      <c r="C98">
        <v>2.4069484948878624E-2</v>
      </c>
      <c r="D98">
        <v>3.5321128288574524E-4</v>
      </c>
      <c r="E98">
        <v>1.724753930804029E-2</v>
      </c>
      <c r="F98">
        <v>4.9945344233368889E-2</v>
      </c>
      <c r="G98">
        <v>-3.0550205779660421E-3</v>
      </c>
      <c r="H98">
        <v>-1.4332654490088666E-2</v>
      </c>
      <c r="I98">
        <v>1.5422182269361588E-4</v>
      </c>
    </row>
    <row r="99" spans="1:9" x14ac:dyDescent="0.25">
      <c r="A99" t="s">
        <v>133</v>
      </c>
      <c r="B99" t="s">
        <v>309</v>
      </c>
      <c r="C99">
        <v>1.8709682391719981E-2</v>
      </c>
      <c r="D99">
        <v>0</v>
      </c>
      <c r="E99">
        <v>1.8325314742733162E-2</v>
      </c>
      <c r="F99">
        <v>5.3948875333517644E-2</v>
      </c>
      <c r="G99">
        <v>3.0327549377445985E-3</v>
      </c>
      <c r="H99">
        <v>7.7145874180925046E-4</v>
      </c>
      <c r="I99">
        <v>-7.5331866490020733E-3</v>
      </c>
    </row>
    <row r="100" spans="1:9" x14ac:dyDescent="0.25">
      <c r="A100" t="s">
        <v>133</v>
      </c>
      <c r="B100" t="s">
        <v>310</v>
      </c>
      <c r="C100">
        <v>6.8196377785755408E-3</v>
      </c>
      <c r="D100">
        <v>-3.5321128288574974E-4</v>
      </c>
      <c r="E100">
        <v>6.7372620733818092E-3</v>
      </c>
      <c r="F100">
        <v>3.7898994161898625E-2</v>
      </c>
      <c r="G100">
        <v>2.324082533512184E-3</v>
      </c>
      <c r="H100">
        <v>8.8668170655683033E-3</v>
      </c>
      <c r="I100">
        <v>-1.6068423827921925E-3</v>
      </c>
    </row>
    <row r="101" spans="1:9" x14ac:dyDescent="0.25">
      <c r="A101" t="s">
        <v>133</v>
      </c>
      <c r="B101" t="s">
        <v>311</v>
      </c>
      <c r="C101">
        <v>9.3915903899076669E-3</v>
      </c>
      <c r="D101">
        <v>2.3548805006979711E-4</v>
      </c>
      <c r="E101">
        <v>-4.7310702458112565E-2</v>
      </c>
      <c r="F101">
        <v>-3.9919030056696655E-2</v>
      </c>
      <c r="G101">
        <v>3.2435607772528228E-3</v>
      </c>
      <c r="H101">
        <v>-4.109797948593641E-4</v>
      </c>
      <c r="I101">
        <v>-4.6692853694222086E-3</v>
      </c>
    </row>
    <row r="102" spans="1:9" x14ac:dyDescent="0.25">
      <c r="A102" t="s">
        <v>130</v>
      </c>
      <c r="B102" t="s">
        <v>312</v>
      </c>
      <c r="C102">
        <v>-2.4706775762094239E-2</v>
      </c>
      <c r="D102">
        <v>-8.2445090353954376E-4</v>
      </c>
      <c r="E102">
        <v>5.441165267722081E-3</v>
      </c>
      <c r="F102">
        <v>-1.3768982616864046E-3</v>
      </c>
      <c r="G102">
        <v>-1.1631450534539574E-3</v>
      </c>
      <c r="H102">
        <v>-1.0240460542023842E-2</v>
      </c>
      <c r="I102">
        <v>-5.8228740432921299E-3</v>
      </c>
    </row>
    <row r="103" spans="1:9" x14ac:dyDescent="0.25">
      <c r="A103" t="s">
        <v>130</v>
      </c>
      <c r="B103" t="s">
        <v>313</v>
      </c>
      <c r="C103">
        <v>5.1459809033587711E-3</v>
      </c>
      <c r="D103">
        <v>-2.0050723235768499E-3</v>
      </c>
      <c r="E103">
        <v>0.11062692814008468</v>
      </c>
      <c r="F103">
        <v>0.1076220176649078</v>
      </c>
      <c r="G103">
        <v>1.7110159799166717E-3</v>
      </c>
      <c r="H103">
        <v>3.8419073142240702E-3</v>
      </c>
      <c r="I103">
        <v>1.1107386505369138E-3</v>
      </c>
    </row>
    <row r="104" spans="1:9" x14ac:dyDescent="0.25">
      <c r="A104" t="s">
        <v>130</v>
      </c>
      <c r="B104" t="s">
        <v>314</v>
      </c>
      <c r="C104">
        <v>-3.6952982702750906E-3</v>
      </c>
      <c r="D104">
        <v>2.3609963514223924E-4</v>
      </c>
      <c r="E104">
        <v>5.4838658918256095E-2</v>
      </c>
      <c r="F104">
        <v>5.1883044207900533E-2</v>
      </c>
      <c r="G104">
        <v>7.0676737225618238E-3</v>
      </c>
      <c r="H104">
        <v>2.2511704617821905E-2</v>
      </c>
      <c r="I104">
        <v>-9.0107086836838915E-4</v>
      </c>
    </row>
    <row r="105" spans="1:9" x14ac:dyDescent="0.25">
      <c r="A105" t="s">
        <v>130</v>
      </c>
      <c r="B105" t="s">
        <v>315</v>
      </c>
      <c r="C105">
        <v>8.3505937536700395E-3</v>
      </c>
      <c r="D105">
        <v>-1.0628876111364691E-3</v>
      </c>
      <c r="E105">
        <v>6.3247980484566861E-3</v>
      </c>
      <c r="F105">
        <v>-6.3405783732292872E-3</v>
      </c>
      <c r="G105">
        <v>2.8361498964632912E-3</v>
      </c>
      <c r="H105">
        <v>7.9796644144763465E-3</v>
      </c>
      <c r="I105">
        <v>2.5544135077685669E-3</v>
      </c>
    </row>
    <row r="106" spans="1:9" x14ac:dyDescent="0.25">
      <c r="A106" t="s">
        <v>130</v>
      </c>
      <c r="B106" t="s">
        <v>316</v>
      </c>
      <c r="C106">
        <v>1.4426018948570565E-2</v>
      </c>
      <c r="D106">
        <v>-1.1816839009306741E-4</v>
      </c>
      <c r="E106">
        <v>4.9821121135587417E-3</v>
      </c>
      <c r="F106">
        <v>3.6737026405817559E-2</v>
      </c>
      <c r="G106">
        <v>3.7999887165703506E-3</v>
      </c>
      <c r="H106">
        <v>5.3404149223371111E-3</v>
      </c>
      <c r="I106">
        <v>-1.5590914389366402E-3</v>
      </c>
    </row>
    <row r="107" spans="1:9" x14ac:dyDescent="0.25">
      <c r="A107" t="s">
        <v>130</v>
      </c>
      <c r="B107" t="s">
        <v>317</v>
      </c>
      <c r="C107">
        <v>-1.8281723069371991E-2</v>
      </c>
      <c r="D107">
        <v>-5.0944959423488319E-3</v>
      </c>
      <c r="E107">
        <v>-1.7603439125574931E-2</v>
      </c>
      <c r="F107">
        <v>-5.1293950743834658E-2</v>
      </c>
      <c r="G107">
        <v>-3.2030636841280376E-3</v>
      </c>
      <c r="H107">
        <v>-5.2627510515305198E-3</v>
      </c>
      <c r="I107">
        <v>6.1764907981449264E-4</v>
      </c>
    </row>
    <row r="108" spans="1:9" x14ac:dyDescent="0.25">
      <c r="A108" t="s">
        <v>130</v>
      </c>
      <c r="B108" t="s">
        <v>318</v>
      </c>
      <c r="C108">
        <v>-1.9156136642672374E-2</v>
      </c>
      <c r="D108">
        <v>3.083493904236549E-3</v>
      </c>
      <c r="E108">
        <v>-2.6921090283961276E-2</v>
      </c>
      <c r="F108">
        <v>-5.0002741810819262E-2</v>
      </c>
      <c r="G108">
        <v>1.8115090934033778E-2</v>
      </c>
      <c r="H108">
        <v>1.6610142360510574E-2</v>
      </c>
      <c r="I108">
        <v>5.5209261741008117E-3</v>
      </c>
    </row>
    <row r="109" spans="1:9" x14ac:dyDescent="0.25">
      <c r="A109" t="s">
        <v>130</v>
      </c>
      <c r="B109" t="s">
        <v>319</v>
      </c>
      <c r="C109">
        <v>-3.8479420653191741E-3</v>
      </c>
      <c r="D109">
        <v>-2.1337134695471791E-3</v>
      </c>
      <c r="E109">
        <v>4.2115962690452953E-3</v>
      </c>
      <c r="F109">
        <v>2.0800367558225477E-3</v>
      </c>
      <c r="G109">
        <v>5.5385169391837935E-3</v>
      </c>
      <c r="H109">
        <v>1.1144539230015729E-2</v>
      </c>
      <c r="I109">
        <v>3.0344621530152124E-3</v>
      </c>
    </row>
    <row r="110" spans="1:9" x14ac:dyDescent="0.25">
      <c r="A110" t="s">
        <v>130</v>
      </c>
      <c r="B110" t="s">
        <v>320</v>
      </c>
      <c r="C110">
        <v>1.5643739212372925E-2</v>
      </c>
      <c r="D110">
        <v>3.5593522354785193E-4</v>
      </c>
      <c r="E110">
        <v>4.5630568853648232E-2</v>
      </c>
      <c r="F110">
        <v>8.065343791303374E-2</v>
      </c>
      <c r="G110">
        <v>-9.2551723532545999E-3</v>
      </c>
      <c r="H110">
        <v>-2.0776664252240805E-2</v>
      </c>
      <c r="I110">
        <v>-4.0028541254400491E-3</v>
      </c>
    </row>
    <row r="111" spans="1:9" x14ac:dyDescent="0.25">
      <c r="A111" t="s">
        <v>130</v>
      </c>
      <c r="B111" t="s">
        <v>321</v>
      </c>
      <c r="C111">
        <v>8.8083277921570239E-4</v>
      </c>
      <c r="D111">
        <v>1.3040129878189176E-3</v>
      </c>
      <c r="E111">
        <v>-1.3855299439768001E-2</v>
      </c>
      <c r="F111">
        <v>-1.6503030043916754E-2</v>
      </c>
      <c r="G111">
        <v>8.2280662945106789E-3</v>
      </c>
      <c r="H111">
        <v>8.6259285507245195E-3</v>
      </c>
      <c r="I111">
        <v>-3.0048538442223895E-3</v>
      </c>
    </row>
    <row r="112" spans="1:9" x14ac:dyDescent="0.25">
      <c r="A112" t="s">
        <v>131</v>
      </c>
      <c r="B112" t="s">
        <v>322</v>
      </c>
      <c r="C112">
        <v>-2.1400503004023481E-2</v>
      </c>
      <c r="D112">
        <v>5.9217151016895445E-4</v>
      </c>
      <c r="E112">
        <v>-8.1082303500867217E-2</v>
      </c>
      <c r="F112">
        <v>-8.2034752274246184E-2</v>
      </c>
      <c r="G112">
        <v>1.5349617821691097E-2</v>
      </c>
      <c r="H112">
        <v>1.1311105089636932E-2</v>
      </c>
      <c r="I112">
        <v>1.0339372517060288E-3</v>
      </c>
    </row>
    <row r="113" spans="1:9" x14ac:dyDescent="0.25">
      <c r="A113" t="s">
        <v>131</v>
      </c>
      <c r="B113" t="s">
        <v>323</v>
      </c>
      <c r="C113">
        <v>-7.192042117620436E-3</v>
      </c>
      <c r="D113">
        <v>1.1839223360780609E-4</v>
      </c>
      <c r="E113">
        <v>-1.2586578010716627E-2</v>
      </c>
      <c r="F113">
        <v>-3.3795701522708353E-2</v>
      </c>
      <c r="G113">
        <v>3.1619387163514621E-4</v>
      </c>
      <c r="H113">
        <v>6.2634181183045265E-3</v>
      </c>
      <c r="I113">
        <v>2.5333228729631004E-3</v>
      </c>
    </row>
    <row r="114" spans="1:9" x14ac:dyDescent="0.25">
      <c r="A114" t="s">
        <v>131</v>
      </c>
      <c r="B114" t="s">
        <v>324</v>
      </c>
      <c r="C114">
        <v>-1.0194654042815754E-2</v>
      </c>
      <c r="D114">
        <v>-9.4753056953006583E-4</v>
      </c>
      <c r="E114">
        <v>-4.4568542775607303E-2</v>
      </c>
      <c r="F114">
        <v>-5.3995605513478019E-2</v>
      </c>
      <c r="G114">
        <v>1.3698630158413185E-4</v>
      </c>
      <c r="H114">
        <v>5.2409210586361107E-3</v>
      </c>
      <c r="I114">
        <v>-1.8743361780926914E-4</v>
      </c>
    </row>
    <row r="115" spans="1:9" x14ac:dyDescent="0.25">
      <c r="A115" t="s">
        <v>131</v>
      </c>
      <c r="B115" t="s">
        <v>325</v>
      </c>
      <c r="C115">
        <v>-1.858379019433392E-2</v>
      </c>
      <c r="D115">
        <v>-5.9266285146132667E-4</v>
      </c>
      <c r="E115">
        <v>-2.6183582678775592E-2</v>
      </c>
      <c r="F115">
        <v>-1.8716735508923003E-2</v>
      </c>
      <c r="G115">
        <v>4.9505051598559835E-3</v>
      </c>
      <c r="H115">
        <v>1.7866876407174132E-2</v>
      </c>
      <c r="I115">
        <v>1.7168279325556555E-3</v>
      </c>
    </row>
    <row r="116" spans="1:9" x14ac:dyDescent="0.25">
      <c r="A116" t="s">
        <v>131</v>
      </c>
      <c r="B116" t="s">
        <v>326</v>
      </c>
      <c r="C116">
        <v>1.4846059711535551E-2</v>
      </c>
      <c r="D116">
        <v>8.2962967721468724E-4</v>
      </c>
      <c r="E116">
        <v>2.7399546583742697E-2</v>
      </c>
      <c r="F116">
        <v>2.971052781780603E-3</v>
      </c>
      <c r="G116">
        <v>-2.3145424942655748E-3</v>
      </c>
      <c r="H116">
        <v>-1.3078789407817487E-2</v>
      </c>
      <c r="I116">
        <v>9.7969510149045081E-3</v>
      </c>
    </row>
    <row r="117" spans="1:9" x14ac:dyDescent="0.25">
      <c r="A117" t="s">
        <v>132</v>
      </c>
      <c r="B117" t="s">
        <v>327</v>
      </c>
      <c r="C117">
        <v>2.2126148364756827E-2</v>
      </c>
      <c r="D117">
        <v>0</v>
      </c>
      <c r="E117">
        <v>2.27384865226169E-2</v>
      </c>
      <c r="F117">
        <v>6.2104915956476887E-2</v>
      </c>
      <c r="G117">
        <v>-8.2201639431802274E-3</v>
      </c>
      <c r="H117">
        <v>-3.8435390788683915E-4</v>
      </c>
      <c r="I117">
        <v>-5.3883445124649279E-3</v>
      </c>
    </row>
    <row r="118" spans="1:9" x14ac:dyDescent="0.25">
      <c r="A118" t="s">
        <v>132</v>
      </c>
      <c r="B118" t="s">
        <v>328</v>
      </c>
      <c r="C118">
        <v>-2.445600339325641E-3</v>
      </c>
      <c r="D118">
        <v>1.7754635663536982E-3</v>
      </c>
      <c r="E118">
        <v>9.6644411320078533E-2</v>
      </c>
      <c r="F118">
        <v>5.4437342461690318E-2</v>
      </c>
      <c r="G118">
        <v>1.071817103584552E-2</v>
      </c>
      <c r="H118">
        <v>9.396925890028782E-3</v>
      </c>
      <c r="I118">
        <v>9.5178000377739154E-4</v>
      </c>
    </row>
    <row r="119" spans="1:9" x14ac:dyDescent="0.25">
      <c r="A119" t="s">
        <v>132</v>
      </c>
      <c r="B119" t="s">
        <v>329</v>
      </c>
      <c r="C119">
        <v>-1.5594426756135317E-2</v>
      </c>
      <c r="D119">
        <v>2.0083886483904735E-3</v>
      </c>
      <c r="E119">
        <v>2.6533406029570768E-2</v>
      </c>
      <c r="F119">
        <v>1.8088298572163458E-2</v>
      </c>
      <c r="G119">
        <v>1.8343230203090824E-2</v>
      </c>
      <c r="H119">
        <v>3.8121239354290487E-2</v>
      </c>
      <c r="I119">
        <v>7.2328201729695415E-3</v>
      </c>
    </row>
    <row r="120" spans="1:9" x14ac:dyDescent="0.25">
      <c r="A120" t="s">
        <v>132</v>
      </c>
      <c r="B120" t="s">
        <v>330</v>
      </c>
      <c r="C120">
        <v>1.8470983448989332E-2</v>
      </c>
      <c r="D120">
        <v>-3.3100869565636285E-3</v>
      </c>
      <c r="E120">
        <v>-9.7537507773346552E-3</v>
      </c>
      <c r="F120">
        <v>-7.5529863466665256E-3</v>
      </c>
      <c r="G120">
        <v>-8.8439660212268935E-3</v>
      </c>
      <c r="H120">
        <v>-4.7770319598934184E-3</v>
      </c>
      <c r="I120">
        <v>-2.464141618472772E-4</v>
      </c>
    </row>
    <row r="121" spans="1:9" x14ac:dyDescent="0.25">
      <c r="A121" t="s">
        <v>132</v>
      </c>
      <c r="B121" t="s">
        <v>331</v>
      </c>
      <c r="C121">
        <v>-5.2685655519010824E-3</v>
      </c>
      <c r="D121">
        <v>0</v>
      </c>
      <c r="E121">
        <v>-3.4094449243952517E-2</v>
      </c>
      <c r="F121">
        <v>-3.9990684099915033E-2</v>
      </c>
      <c r="G121">
        <v>4.7134227918928292E-3</v>
      </c>
      <c r="H121">
        <v>-3.4994342193680902E-3</v>
      </c>
      <c r="I121">
        <v>4.0989963627491369E-3</v>
      </c>
    </row>
    <row r="122" spans="1:9" x14ac:dyDescent="0.25">
      <c r="A122" t="s">
        <v>132</v>
      </c>
      <c r="B122" t="s">
        <v>332</v>
      </c>
      <c r="C122">
        <v>-7.9656579014163158E-3</v>
      </c>
      <c r="D122">
        <v>1.0651518848347041E-3</v>
      </c>
      <c r="E122">
        <v>-8.1285334669332271E-2</v>
      </c>
      <c r="F122">
        <v>-7.9766412488926478E-2</v>
      </c>
      <c r="G122">
        <v>1.7030583303383251E-2</v>
      </c>
      <c r="H122">
        <v>1.9915623187535567E-2</v>
      </c>
      <c r="I122">
        <v>8.7867675236169406E-3</v>
      </c>
    </row>
    <row r="123" spans="1:9" x14ac:dyDescent="0.25">
      <c r="A123" t="s">
        <v>132</v>
      </c>
      <c r="B123" t="s">
        <v>333</v>
      </c>
      <c r="C123">
        <v>-2.9962522550535008E-2</v>
      </c>
      <c r="D123">
        <v>-1.302006457235276E-3</v>
      </c>
      <c r="E123">
        <v>-2.7866269304499848E-2</v>
      </c>
      <c r="F123">
        <v>-4.6689380227712053E-2</v>
      </c>
      <c r="G123">
        <v>1.4955302737674541E-2</v>
      </c>
      <c r="H123">
        <v>-2.9615428295782571E-4</v>
      </c>
      <c r="I123">
        <v>6.5171165439380759E-3</v>
      </c>
    </row>
    <row r="124" spans="1:9" x14ac:dyDescent="0.25">
      <c r="A124" t="s">
        <v>132</v>
      </c>
      <c r="B124" t="s">
        <v>334</v>
      </c>
      <c r="C124">
        <v>-7.2601279980952522E-3</v>
      </c>
      <c r="D124">
        <v>-1.3037038883564913E-3</v>
      </c>
      <c r="E124">
        <v>1.7584681445881625E-2</v>
      </c>
      <c r="F124">
        <v>3.1129125635542966E-2</v>
      </c>
      <c r="G124">
        <v>2.6812978652432207E-2</v>
      </c>
      <c r="H124">
        <v>2.8015512437621473E-2</v>
      </c>
      <c r="I124">
        <v>-2.3291583719174391E-3</v>
      </c>
    </row>
    <row r="125" spans="1:9" x14ac:dyDescent="0.25">
      <c r="A125" t="s">
        <v>132</v>
      </c>
      <c r="B125" t="s">
        <v>335</v>
      </c>
      <c r="C125">
        <v>2.5373672345635229E-2</v>
      </c>
      <c r="D125">
        <v>-5.9315500879022001E-4</v>
      </c>
      <c r="E125">
        <v>8.0460873413540981E-2</v>
      </c>
      <c r="F125">
        <v>5.7694315475437803E-2</v>
      </c>
      <c r="G125">
        <v>-3.0131610132118004E-2</v>
      </c>
      <c r="H125">
        <v>-2.5123970415193028E-2</v>
      </c>
      <c r="I125">
        <v>-1.1105022004651287E-2</v>
      </c>
    </row>
    <row r="126" spans="1:9" x14ac:dyDescent="0.25">
      <c r="A126" t="s">
        <v>132</v>
      </c>
      <c r="B126" t="s">
        <v>336</v>
      </c>
      <c r="C126">
        <v>-4.3010818993905854E-3</v>
      </c>
      <c r="D126">
        <v>-8.3100853598081848E-4</v>
      </c>
      <c r="E126">
        <v>-6.2546899974027126E-2</v>
      </c>
      <c r="F126">
        <v>-4.5620063956401093E-2</v>
      </c>
      <c r="G126">
        <v>2.1919328625096225E-3</v>
      </c>
      <c r="H126">
        <v>5.7658487646050464E-3</v>
      </c>
      <c r="I126">
        <v>5.4867169072244796E-3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C2559-560D-4F3D-8DF1-E79B6451A9AF}">
  <dimension ref="A1:BG125"/>
  <sheetViews>
    <sheetView workbookViewId="0">
      <selection activeCell="S7" sqref="S7"/>
    </sheetView>
  </sheetViews>
  <sheetFormatPr defaultRowHeight="15" x14ac:dyDescent="0.25"/>
  <cols>
    <col min="1" max="1" width="11.85546875" bestFit="1" customWidth="1"/>
    <col min="2" max="2" width="10.7109375" bestFit="1" customWidth="1"/>
    <col min="9" max="9" width="12.7109375" bestFit="1" customWidth="1"/>
    <col min="10" max="10" width="2.85546875" customWidth="1"/>
    <col min="19" max="20" width="12" bestFit="1" customWidth="1"/>
    <col min="21" max="21" width="2.85546875" customWidth="1"/>
    <col min="29" max="29" width="2.85546875" customWidth="1"/>
    <col min="35" max="35" width="2.85546875" customWidth="1"/>
    <col min="45" max="45" width="2.85546875" customWidth="1"/>
    <col min="53" max="53" width="2.85546875" customWidth="1"/>
    <col min="58" max="58" width="12" bestFit="1" customWidth="1"/>
  </cols>
  <sheetData>
    <row r="1" spans="1:59" x14ac:dyDescent="0.25">
      <c r="A1" s="1" t="s">
        <v>134</v>
      </c>
      <c r="B1" s="1" t="s">
        <v>135</v>
      </c>
      <c r="C1" s="1" t="s">
        <v>136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340</v>
      </c>
      <c r="I1" s="1" t="s">
        <v>169</v>
      </c>
      <c r="J1" s="3"/>
      <c r="K1" t="s">
        <v>134</v>
      </c>
      <c r="L1" t="s">
        <v>135</v>
      </c>
      <c r="M1" t="s">
        <v>124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341</v>
      </c>
      <c r="T1" s="1" t="s">
        <v>175</v>
      </c>
      <c r="U1" s="3"/>
      <c r="V1" t="s">
        <v>134</v>
      </c>
      <c r="W1" t="s">
        <v>135</v>
      </c>
      <c r="X1" t="s">
        <v>125</v>
      </c>
      <c r="Y1" s="1" t="s">
        <v>178</v>
      </c>
      <c r="Z1" s="1" t="s">
        <v>179</v>
      </c>
      <c r="AA1" s="1" t="s">
        <v>342</v>
      </c>
      <c r="AB1" s="1" t="s">
        <v>180</v>
      </c>
      <c r="AC1" s="3"/>
      <c r="AD1" t="s">
        <v>134</v>
      </c>
      <c r="AE1" t="s">
        <v>135</v>
      </c>
      <c r="AF1" t="s">
        <v>126</v>
      </c>
      <c r="AG1" s="1" t="s">
        <v>343</v>
      </c>
      <c r="AH1" s="1" t="s">
        <v>181</v>
      </c>
      <c r="AI1" s="3"/>
      <c r="AJ1" t="s">
        <v>134</v>
      </c>
      <c r="AK1" t="s">
        <v>135</v>
      </c>
      <c r="AL1" t="s">
        <v>127</v>
      </c>
      <c r="AM1" s="1" t="s">
        <v>182</v>
      </c>
      <c r="AN1" s="1" t="s">
        <v>183</v>
      </c>
      <c r="AO1" s="1" t="s">
        <v>184</v>
      </c>
      <c r="AP1" s="1" t="s">
        <v>185</v>
      </c>
      <c r="AQ1" s="1" t="s">
        <v>344</v>
      </c>
      <c r="AR1" s="1" t="s">
        <v>186</v>
      </c>
      <c r="AS1" s="3"/>
      <c r="AT1" t="s">
        <v>134</v>
      </c>
      <c r="AU1" t="s">
        <v>135</v>
      </c>
      <c r="AV1" t="s">
        <v>128</v>
      </c>
      <c r="AW1" s="1" t="s">
        <v>189</v>
      </c>
      <c r="AX1" s="1" t="s">
        <v>190</v>
      </c>
      <c r="AY1" s="1" t="s">
        <v>345</v>
      </c>
      <c r="AZ1" s="1" t="s">
        <v>191</v>
      </c>
      <c r="BA1" s="3"/>
      <c r="BB1" t="s">
        <v>134</v>
      </c>
      <c r="BC1" t="s">
        <v>135</v>
      </c>
      <c r="BD1" t="s">
        <v>129</v>
      </c>
      <c r="BE1" s="1" t="s">
        <v>192</v>
      </c>
      <c r="BF1" s="1" t="s">
        <v>346</v>
      </c>
      <c r="BG1" s="1" t="s">
        <v>193</v>
      </c>
    </row>
    <row r="2" spans="1:59" x14ac:dyDescent="0.25">
      <c r="A2" t="s">
        <v>133</v>
      </c>
      <c r="B2" t="s">
        <v>0</v>
      </c>
      <c r="C2">
        <v>-5.3204152845832192E-3</v>
      </c>
      <c r="J2" s="3"/>
      <c r="K2" t="s">
        <v>133</v>
      </c>
      <c r="L2" t="s">
        <v>0</v>
      </c>
      <c r="M2">
        <v>5.8993571411842453E-4</v>
      </c>
      <c r="U2" s="3"/>
      <c r="V2" t="s">
        <v>133</v>
      </c>
      <c r="W2" t="s">
        <v>0</v>
      </c>
      <c r="X2">
        <v>1.6233879989938107E-2</v>
      </c>
      <c r="AC2" s="3"/>
      <c r="AD2" t="s">
        <v>133</v>
      </c>
      <c r="AE2" t="s">
        <v>0</v>
      </c>
      <c r="AF2">
        <v>4.6774648861306049E-2</v>
      </c>
      <c r="AG2">
        <f>RESULTADOS_R!$T$18</f>
        <v>4.3639999999999998E-3</v>
      </c>
      <c r="AH2">
        <f>AF2-AG2</f>
        <v>4.2410648861306049E-2</v>
      </c>
      <c r="AI2" s="3"/>
      <c r="AJ2" t="s">
        <v>133</v>
      </c>
      <c r="AK2" t="s">
        <v>0</v>
      </c>
      <c r="AL2">
        <v>-5.9012939599451808E-3</v>
      </c>
      <c r="AS2" s="3"/>
      <c r="AT2" t="s">
        <v>133</v>
      </c>
      <c r="AU2" t="s">
        <v>0</v>
      </c>
      <c r="AV2">
        <v>-1.4469346465452351E-2</v>
      </c>
      <c r="BA2" s="3"/>
      <c r="BB2" t="s">
        <v>133</v>
      </c>
      <c r="BC2" t="s">
        <v>0</v>
      </c>
      <c r="BD2">
        <v>-2.3204079986689151E-4</v>
      </c>
    </row>
    <row r="3" spans="1:59" x14ac:dyDescent="0.25">
      <c r="A3" t="s">
        <v>133</v>
      </c>
      <c r="B3" t="s">
        <v>1</v>
      </c>
      <c r="C3">
        <v>5.0181127446191909E-3</v>
      </c>
      <c r="D3">
        <v>-5.3204152845832192E-3</v>
      </c>
      <c r="J3" s="3"/>
      <c r="K3" t="s">
        <v>133</v>
      </c>
      <c r="L3" t="s">
        <v>1</v>
      </c>
      <c r="M3">
        <v>4.716981219535569E-4</v>
      </c>
      <c r="N3">
        <v>5.8993571411842453E-4</v>
      </c>
      <c r="U3" s="3"/>
      <c r="V3" t="s">
        <v>133</v>
      </c>
      <c r="W3" t="s">
        <v>1</v>
      </c>
      <c r="X3">
        <v>5.0795360437543534E-3</v>
      </c>
      <c r="Y3">
        <v>1.6233879989938107E-2</v>
      </c>
      <c r="AC3" s="3"/>
      <c r="AD3" t="s">
        <v>133</v>
      </c>
      <c r="AE3" t="s">
        <v>1</v>
      </c>
      <c r="AF3">
        <v>2.9113467233330428E-2</v>
      </c>
      <c r="AG3">
        <f>RESULTADOS_R!$T$18</f>
        <v>4.3639999999999998E-3</v>
      </c>
      <c r="AH3">
        <f t="shared" ref="AH3:AH66" si="0">AF3-AG3</f>
        <v>2.4749467233330429E-2</v>
      </c>
      <c r="AI3" s="3"/>
      <c r="AJ3" t="s">
        <v>133</v>
      </c>
      <c r="AK3" t="s">
        <v>1</v>
      </c>
      <c r="AL3">
        <v>-1.6631181631396558E-2</v>
      </c>
      <c r="AM3">
        <v>-5.9012939599451808E-3</v>
      </c>
      <c r="AS3" s="3"/>
      <c r="AT3" t="s">
        <v>133</v>
      </c>
      <c r="AU3" t="s">
        <v>1</v>
      </c>
      <c r="AV3">
        <v>-3.180992768450773E-2</v>
      </c>
      <c r="AW3">
        <v>-1.4469346465452351E-2</v>
      </c>
      <c r="BA3" s="3"/>
      <c r="BB3" t="s">
        <v>133</v>
      </c>
      <c r="BC3" t="s">
        <v>1</v>
      </c>
      <c r="BD3">
        <v>2.7004439896368779E-3</v>
      </c>
      <c r="BE3">
        <v>-2.3204079986689151E-4</v>
      </c>
      <c r="BF3">
        <f>RESULTADOS_R!$T$27+(RESULTADOS_R!$T$28*BD2)</f>
        <v>2.1371675100574553E-5</v>
      </c>
      <c r="BG3">
        <f>BD3-BF3</f>
        <v>2.6790723145363035E-3</v>
      </c>
    </row>
    <row r="4" spans="1:59" x14ac:dyDescent="0.25">
      <c r="A4" t="s">
        <v>133</v>
      </c>
      <c r="B4" t="s">
        <v>2</v>
      </c>
      <c r="C4">
        <v>-1.2337698118156418E-2</v>
      </c>
      <c r="D4">
        <v>5.0181127446191909E-3</v>
      </c>
      <c r="E4">
        <v>-5.3204152845832192E-3</v>
      </c>
      <c r="J4" s="3"/>
      <c r="K4" t="s">
        <v>133</v>
      </c>
      <c r="L4" t="s">
        <v>2</v>
      </c>
      <c r="M4">
        <v>-4.716981219534771E-4</v>
      </c>
      <c r="N4">
        <v>4.716981219535569E-4</v>
      </c>
      <c r="O4">
        <v>5.8993571411842453E-4</v>
      </c>
      <c r="U4" s="3"/>
      <c r="V4" t="s">
        <v>133</v>
      </c>
      <c r="W4" t="s">
        <v>2</v>
      </c>
      <c r="X4">
        <v>5.9396113641495803E-3</v>
      </c>
      <c r="Y4">
        <v>5.0795360437543534E-3</v>
      </c>
      <c r="Z4">
        <v>1.6233879989938107E-2</v>
      </c>
      <c r="AA4">
        <f>RESULTADOS_R!$T$15+(RESULTADOS_R!$T$16*'EV1-ER-AR'!X3)+(RESULTADOS_R!$T$17*'EV1-ER-AR'!X2)</f>
        <v>-8.0868887271795444E-4</v>
      </c>
      <c r="AB4">
        <f>X4-AA4</f>
        <v>6.7483002368675347E-3</v>
      </c>
      <c r="AC4" s="3"/>
      <c r="AD4" t="s">
        <v>133</v>
      </c>
      <c r="AE4" t="s">
        <v>2</v>
      </c>
      <c r="AF4">
        <v>-1.4175446568688778E-2</v>
      </c>
      <c r="AG4">
        <f>RESULTADOS_R!$T$18</f>
        <v>4.3639999999999998E-3</v>
      </c>
      <c r="AH4">
        <f t="shared" si="0"/>
        <v>-1.8539446568688778E-2</v>
      </c>
      <c r="AI4" s="3"/>
      <c r="AJ4" t="s">
        <v>133</v>
      </c>
      <c r="AK4" t="s">
        <v>2</v>
      </c>
      <c r="AL4">
        <v>4.5608181442482664E-3</v>
      </c>
      <c r="AM4">
        <v>-1.6631181631396558E-2</v>
      </c>
      <c r="AN4">
        <v>-5.9012939599451808E-3</v>
      </c>
      <c r="AS4" s="3"/>
      <c r="AT4" t="s">
        <v>133</v>
      </c>
      <c r="AU4" t="s">
        <v>2</v>
      </c>
      <c r="AV4">
        <v>1.4023016820749201E-2</v>
      </c>
      <c r="AW4">
        <v>-3.180992768450773E-2</v>
      </c>
      <c r="AX4">
        <v>-1.4469346465452351E-2</v>
      </c>
      <c r="AY4">
        <f>RESULTADOS_R!$T$24+(RESULTADOS_R!$T$25*AV3)+(RESULTADOS_R!$T$26*AV2)</f>
        <v>3.8737866531383322E-3</v>
      </c>
      <c r="AZ4">
        <f>AV4-AY4</f>
        <v>1.0149230167610868E-2</v>
      </c>
      <c r="BA4" s="3"/>
      <c r="BB4" t="s">
        <v>133</v>
      </c>
      <c r="BC4" t="s">
        <v>2</v>
      </c>
      <c r="BD4">
        <v>-2.5087542439467532E-3</v>
      </c>
      <c r="BE4">
        <v>2.7004439896368779E-3</v>
      </c>
      <c r="BF4">
        <f>RESULTADOS_R!$T$27+(RESULTADOS_R!$T$28*BD3)</f>
        <v>5.8093956946210436E-4</v>
      </c>
      <c r="BG4">
        <f t="shared" ref="BG4:BG67" si="1">BD4-BF4</f>
        <v>-3.0896938134088578E-3</v>
      </c>
    </row>
    <row r="5" spans="1:59" x14ac:dyDescent="0.25">
      <c r="A5" t="s">
        <v>133</v>
      </c>
      <c r="B5" t="s">
        <v>3</v>
      </c>
      <c r="C5">
        <v>-1.8051898964859928E-2</v>
      </c>
      <c r="D5">
        <v>-1.2337698118156418E-2</v>
      </c>
      <c r="E5">
        <v>5.0181127446191909E-3</v>
      </c>
      <c r="F5">
        <v>-5.3204152845832192E-3</v>
      </c>
      <c r="J5" s="3"/>
      <c r="K5" t="s">
        <v>133</v>
      </c>
      <c r="L5" t="s">
        <v>3</v>
      </c>
      <c r="M5">
        <v>1.0610080570945472E-3</v>
      </c>
      <c r="N5">
        <v>-4.716981219534771E-4</v>
      </c>
      <c r="O5">
        <v>4.716981219535569E-4</v>
      </c>
      <c r="P5">
        <v>5.8993571411842453E-4</v>
      </c>
      <c r="U5" s="3"/>
      <c r="V5" t="s">
        <v>133</v>
      </c>
      <c r="W5" t="s">
        <v>3</v>
      </c>
      <c r="X5">
        <v>5.9469602760682328E-3</v>
      </c>
      <c r="Y5">
        <v>5.9396113641495803E-3</v>
      </c>
      <c r="Z5">
        <v>5.0795360437543534E-3</v>
      </c>
      <c r="AA5">
        <f>RESULTADOS_R!$T$15+(RESULTADOS_R!$T$16*'EV1-ER-AR'!X4)+(RESULTADOS_R!$T$17*'EV1-ER-AR'!X3)</f>
        <v>1.8982891194499769E-3</v>
      </c>
      <c r="AB5">
        <f t="shared" ref="AB5:AB68" si="2">X5-AA5</f>
        <v>4.0486711566182559E-3</v>
      </c>
      <c r="AC5" s="3"/>
      <c r="AD5" t="s">
        <v>133</v>
      </c>
      <c r="AE5" t="s">
        <v>3</v>
      </c>
      <c r="AF5">
        <v>1.8825177785835406E-2</v>
      </c>
      <c r="AG5">
        <f>RESULTADOS_R!$T$18</f>
        <v>4.3639999999999998E-3</v>
      </c>
      <c r="AH5">
        <f t="shared" si="0"/>
        <v>1.4461177785835406E-2</v>
      </c>
      <c r="AI5" s="3"/>
      <c r="AJ5" t="s">
        <v>133</v>
      </c>
      <c r="AK5" t="s">
        <v>3</v>
      </c>
      <c r="AL5">
        <v>1.3785727087528303E-2</v>
      </c>
      <c r="AM5">
        <v>4.5608181442482664E-3</v>
      </c>
      <c r="AN5">
        <v>-1.6631181631396558E-2</v>
      </c>
      <c r="AO5">
        <v>-5.9012939599451808E-3</v>
      </c>
      <c r="AS5" s="3"/>
      <c r="AT5" t="s">
        <v>133</v>
      </c>
      <c r="AU5" t="s">
        <v>3</v>
      </c>
      <c r="AV5">
        <v>1.839660965156684E-2</v>
      </c>
      <c r="AW5">
        <v>1.4023016820749201E-2</v>
      </c>
      <c r="AX5">
        <v>-3.180992768450773E-2</v>
      </c>
      <c r="AY5">
        <f>RESULTADOS_R!$T$24+(RESULTADOS_R!$T$25*AV4)+(RESULTADOS_R!$T$26*AV3)</f>
        <v>3.321029535902173E-3</v>
      </c>
      <c r="AZ5">
        <f t="shared" ref="AZ5:AZ68" si="3">AV5-AY5</f>
        <v>1.5075580115664667E-2</v>
      </c>
      <c r="BA5" s="3"/>
      <c r="BB5" t="s">
        <v>133</v>
      </c>
      <c r="BC5" t="s">
        <v>3</v>
      </c>
      <c r="BD5">
        <v>-1.1001934018147451E-3</v>
      </c>
      <c r="BE5">
        <v>-2.5087542439467532E-3</v>
      </c>
      <c r="BF5">
        <f>RESULTADOS_R!$T$27+(RESULTADOS_R!$T$28*BD4)</f>
        <v>-4.1306391090085699E-4</v>
      </c>
      <c r="BG5">
        <f t="shared" si="1"/>
        <v>-6.8712949091388807E-4</v>
      </c>
    </row>
    <row r="6" spans="1:59" x14ac:dyDescent="0.25">
      <c r="A6" t="s">
        <v>133</v>
      </c>
      <c r="B6" t="s">
        <v>4</v>
      </c>
      <c r="C6">
        <v>7.9335382142198957E-3</v>
      </c>
      <c r="D6">
        <v>-1.8051898964859928E-2</v>
      </c>
      <c r="E6">
        <v>-1.2337698118156418E-2</v>
      </c>
      <c r="F6">
        <v>5.0181127446191909E-3</v>
      </c>
      <c r="G6">
        <v>-5.3204152845832192E-3</v>
      </c>
      <c r="H6">
        <f>RESULTADOS_R!$T$4+(RESULTADOS_R!$T$5*C5)+(RESULTADOS_R!$T$6*C4)+(RESULTADOS_R!$T$7*C3)+(RESULTADOS_R!$T$8*C2)</f>
        <v>3.7198406576291381E-3</v>
      </c>
      <c r="I6">
        <f>C6-H6</f>
        <v>4.2136975565907576E-3</v>
      </c>
      <c r="J6" s="3"/>
      <c r="K6" t="s">
        <v>133</v>
      </c>
      <c r="L6" t="s">
        <v>4</v>
      </c>
      <c r="M6">
        <v>2.118644860285155E-3</v>
      </c>
      <c r="N6">
        <v>1.0610080570945472E-3</v>
      </c>
      <c r="O6">
        <v>-4.716981219534771E-4</v>
      </c>
      <c r="P6">
        <v>4.716981219535569E-4</v>
      </c>
      <c r="Q6">
        <v>5.8993571411842453E-4</v>
      </c>
      <c r="U6" s="3"/>
      <c r="V6" t="s">
        <v>133</v>
      </c>
      <c r="W6" t="s">
        <v>4</v>
      </c>
      <c r="X6">
        <v>-1.59793705224438E-2</v>
      </c>
      <c r="Y6">
        <v>5.9469602760682328E-3</v>
      </c>
      <c r="Z6">
        <v>5.9396113641495803E-3</v>
      </c>
      <c r="AA6">
        <f>RESULTADOS_R!$T$15+(RESULTADOS_R!$T$16*'EV1-ER-AR'!X5)+(RESULTADOS_R!$T$17*'EV1-ER-AR'!X4)</f>
        <v>1.7069228515780971E-3</v>
      </c>
      <c r="AB6">
        <f t="shared" si="2"/>
        <v>-1.7686293374021896E-2</v>
      </c>
      <c r="AC6" s="3"/>
      <c r="AD6" t="s">
        <v>133</v>
      </c>
      <c r="AE6" t="s">
        <v>4</v>
      </c>
      <c r="AF6">
        <v>-3.0971918239215687E-2</v>
      </c>
      <c r="AG6">
        <f>RESULTADOS_R!$T$18</f>
        <v>4.3639999999999998E-3</v>
      </c>
      <c r="AH6">
        <f t="shared" si="0"/>
        <v>-3.5335918239215683E-2</v>
      </c>
      <c r="AI6" s="3"/>
      <c r="AJ6" t="s">
        <v>133</v>
      </c>
      <c r="AK6" t="s">
        <v>4</v>
      </c>
      <c r="AL6">
        <v>3.6545101265193594E-3</v>
      </c>
      <c r="AM6">
        <v>1.3785727087528303E-2</v>
      </c>
      <c r="AN6">
        <v>4.5608181442482664E-3</v>
      </c>
      <c r="AO6">
        <v>-1.6631181631396558E-2</v>
      </c>
      <c r="AP6">
        <v>-5.9012939599451808E-3</v>
      </c>
      <c r="AQ6">
        <f>RESULTADOS_R!$T$19+(RESULTADOS_R!$T$20*AL5)+(RESULTADOS_R!$T$21*AL4)+(RESULTADOS_R!$T$22*AL3)+(RESULTADOS_R!$T$23*AL2)</f>
        <v>4.6161980974494784E-3</v>
      </c>
      <c r="AR6">
        <f>AL6-AQ6</f>
        <v>-9.6168797093011899E-4</v>
      </c>
      <c r="AS6" s="3"/>
      <c r="AT6" t="s">
        <v>133</v>
      </c>
      <c r="AU6" t="s">
        <v>4</v>
      </c>
      <c r="AV6">
        <v>0</v>
      </c>
      <c r="AW6">
        <v>1.839660965156684E-2</v>
      </c>
      <c r="AX6">
        <v>1.4023016820749201E-2</v>
      </c>
      <c r="AY6">
        <f>RESULTADOS_R!$T$24+(RESULTADOS_R!$T$25*AV5)+(RESULTADOS_R!$T$26*AV4)</f>
        <v>-1.5000293878421563E-3</v>
      </c>
      <c r="AZ6">
        <f t="shared" si="3"/>
        <v>1.5000293878421563E-3</v>
      </c>
      <c r="BA6" s="3"/>
      <c r="BB6" t="s">
        <v>133</v>
      </c>
      <c r="BC6" t="s">
        <v>4</v>
      </c>
      <c r="BD6">
        <v>-1.566582593753262E-3</v>
      </c>
      <c r="BE6">
        <v>-1.1001934018147451E-3</v>
      </c>
      <c r="BF6">
        <f>RESULTADOS_R!$T$27+(RESULTADOS_R!$T$28*BD5)</f>
        <v>-1.442865834504096E-4</v>
      </c>
      <c r="BG6">
        <f t="shared" si="1"/>
        <v>-1.4222960103028523E-3</v>
      </c>
    </row>
    <row r="7" spans="1:59" x14ac:dyDescent="0.25">
      <c r="A7" t="s">
        <v>133</v>
      </c>
      <c r="B7" t="s">
        <v>5</v>
      </c>
      <c r="C7">
        <v>1.4123661241137396E-2</v>
      </c>
      <c r="D7">
        <v>7.9335382142198957E-3</v>
      </c>
      <c r="E7">
        <v>-1.8051898964859928E-2</v>
      </c>
      <c r="F7">
        <v>-1.2337698118156418E-2</v>
      </c>
      <c r="G7">
        <v>5.0181127446191909E-3</v>
      </c>
      <c r="H7">
        <f>RESULTADOS_R!$T$4+(RESULTADOS_R!$T$5*C6)+(RESULTADOS_R!$T$6*C5)+(RESULTADOS_R!$T$7*C4)+(RESULTADOS_R!$T$8*C3)</f>
        <v>8.4224245469221408E-3</v>
      </c>
      <c r="I7">
        <f t="shared" ref="I7:I70" si="4">C7-H7</f>
        <v>5.7012366942152549E-3</v>
      </c>
      <c r="J7" s="3"/>
      <c r="K7" t="s">
        <v>133</v>
      </c>
      <c r="L7" t="s">
        <v>5</v>
      </c>
      <c r="M7">
        <v>-1.1758480817820968E-4</v>
      </c>
      <c r="N7">
        <v>2.118644860285155E-3</v>
      </c>
      <c r="O7">
        <v>1.0610080570945472E-3</v>
      </c>
      <c r="P7">
        <v>-4.716981219534771E-4</v>
      </c>
      <c r="Q7">
        <v>4.716981219535569E-4</v>
      </c>
      <c r="R7">
        <v>5.8993571411842453E-4</v>
      </c>
      <c r="S7">
        <f>RESULTADOS_R!$T$9+(RESULTADOS_R!$T$10*M6)+(RESULTADOS_R!$T$11*M5)+(RESULTADOS_R!$T$12*M4)+(RESULTADOS_R!$T$13*M3)+(RESULTADOS_R!$T$14*M2)</f>
        <v>-2.0236888026109527E-4</v>
      </c>
      <c r="T7">
        <f>M7-S7</f>
        <v>8.4784072082885593E-5</v>
      </c>
      <c r="U7" s="3"/>
      <c r="V7" t="s">
        <v>133</v>
      </c>
      <c r="W7" t="s">
        <v>5</v>
      </c>
      <c r="X7">
        <v>-6.5654266204983967E-3</v>
      </c>
      <c r="Y7">
        <v>-1.59793705224438E-2</v>
      </c>
      <c r="Z7">
        <v>5.9469602760682328E-3</v>
      </c>
      <c r="AA7">
        <f>RESULTADOS_R!$T$15+(RESULTADOS_R!$T$16*'EV1-ER-AR'!X6)+(RESULTADOS_R!$T$17*'EV1-ER-AR'!X5)</f>
        <v>-3.4618204116684459E-3</v>
      </c>
      <c r="AB7">
        <f t="shared" si="2"/>
        <v>-3.1036062088299508E-3</v>
      </c>
      <c r="AC7" s="3"/>
      <c r="AD7" t="s">
        <v>133</v>
      </c>
      <c r="AE7" t="s">
        <v>5</v>
      </c>
      <c r="AF7">
        <v>1.014060221107105E-2</v>
      </c>
      <c r="AG7">
        <f>RESULTADOS_R!$T$18</f>
        <v>4.3639999999999998E-3</v>
      </c>
      <c r="AH7">
        <f t="shared" si="0"/>
        <v>5.77660221107105E-3</v>
      </c>
      <c r="AI7" s="3"/>
      <c r="AJ7" t="s">
        <v>133</v>
      </c>
      <c r="AK7" t="s">
        <v>5</v>
      </c>
      <c r="AL7">
        <v>-2.6581605685501656E-4</v>
      </c>
      <c r="AM7">
        <v>3.6545101265193594E-3</v>
      </c>
      <c r="AN7">
        <v>1.3785727087528303E-2</v>
      </c>
      <c r="AO7">
        <v>4.5608181442482664E-3</v>
      </c>
      <c r="AP7">
        <v>-1.6631181631396558E-2</v>
      </c>
      <c r="AQ7">
        <f>RESULTADOS_R!$T$19+(RESULTADOS_R!$T$20*AL6)+(RESULTADOS_R!$T$21*AL5)+(RESULTADOS_R!$T$22*AL4)+(RESULTADOS_R!$T$23*AL3)</f>
        <v>-7.5785392576076878E-4</v>
      </c>
      <c r="AR7">
        <f t="shared" ref="AR7:AR70" si="5">AL7-AQ7</f>
        <v>4.9203786890575222E-4</v>
      </c>
      <c r="AS7" s="3"/>
      <c r="AT7" t="s">
        <v>133</v>
      </c>
      <c r="AU7" t="s">
        <v>5</v>
      </c>
      <c r="AV7">
        <v>-2.8485970852067723E-4</v>
      </c>
      <c r="AW7">
        <v>0</v>
      </c>
      <c r="AX7">
        <v>1.839660965156684E-2</v>
      </c>
      <c r="AY7">
        <f>RESULTADOS_R!$T$24+(RESULTADOS_R!$T$25*AV6)+(RESULTADOS_R!$T$26*AV5)</f>
        <v>-1.0184330096892689E-3</v>
      </c>
      <c r="AZ7">
        <f t="shared" si="3"/>
        <v>7.3357330116859175E-4</v>
      </c>
      <c r="BA7" s="3"/>
      <c r="BB7" t="s">
        <v>133</v>
      </c>
      <c r="BC7" t="s">
        <v>5</v>
      </c>
      <c r="BD7">
        <v>-5.6659518291044962E-4</v>
      </c>
      <c r="BE7">
        <v>-1.566582593753262E-3</v>
      </c>
      <c r="BF7">
        <f>RESULTADOS_R!$T$27+(RESULTADOS_R!$T$28*BD6)</f>
        <v>-2.3328156102714694E-4</v>
      </c>
      <c r="BG7">
        <f t="shared" si="1"/>
        <v>-3.3331362188330268E-4</v>
      </c>
    </row>
    <row r="8" spans="1:59" x14ac:dyDescent="0.25">
      <c r="A8" t="s">
        <v>133</v>
      </c>
      <c r="B8" t="s">
        <v>6</v>
      </c>
      <c r="C8">
        <v>-4.4815719742406779E-3</v>
      </c>
      <c r="D8">
        <v>1.4123661241137396E-2</v>
      </c>
      <c r="E8">
        <v>7.9335382142198957E-3</v>
      </c>
      <c r="F8">
        <v>-1.8051898964859928E-2</v>
      </c>
      <c r="G8">
        <v>-1.2337698118156418E-2</v>
      </c>
      <c r="H8">
        <f>RESULTADOS_R!$T$4+(RESULTADOS_R!$T$5*C7)+(RESULTADOS_R!$T$6*C6)+(RESULTADOS_R!$T$7*C5)+(RESULTADOS_R!$T$8*C4)</f>
        <v>1.6335736881715459E-3</v>
      </c>
      <c r="I8">
        <f t="shared" si="4"/>
        <v>-6.1151456624122238E-3</v>
      </c>
      <c r="J8" s="3"/>
      <c r="K8" t="s">
        <v>133</v>
      </c>
      <c r="L8" t="s">
        <v>6</v>
      </c>
      <c r="M8">
        <v>-1.0588859157515207E-3</v>
      </c>
      <c r="N8">
        <v>-1.1758480817820968E-4</v>
      </c>
      <c r="O8">
        <v>2.118644860285155E-3</v>
      </c>
      <c r="P8">
        <v>1.0610080570945472E-3</v>
      </c>
      <c r="Q8">
        <v>-4.716981219534771E-4</v>
      </c>
      <c r="R8">
        <v>4.716981219535569E-4</v>
      </c>
      <c r="S8">
        <f>RESULTADOS_R!$T$9+(RESULTADOS_R!$T$10*M7)+(RESULTADOS_R!$T$11*M6)+(RESULTADOS_R!$T$12*M5)+(RESULTADOS_R!$T$13*M4)+(RESULTADOS_R!$T$14*M3)</f>
        <v>-1.7419234870940222E-4</v>
      </c>
      <c r="T8">
        <f t="shared" ref="T8:T71" si="6">M8-S8</f>
        <v>-8.8469356704211854E-4</v>
      </c>
      <c r="U8" s="3"/>
      <c r="V8" t="s">
        <v>133</v>
      </c>
      <c r="W8" t="s">
        <v>6</v>
      </c>
      <c r="X8">
        <v>4.8243161757353841E-3</v>
      </c>
      <c r="Y8">
        <v>-6.5654266204983967E-3</v>
      </c>
      <c r="Z8">
        <v>-1.59793705224438E-2</v>
      </c>
      <c r="AA8">
        <f>RESULTADOS_R!$T$15+(RESULTADOS_R!$T$16*'EV1-ER-AR'!X7)+(RESULTADOS_R!$T$17*'EV1-ER-AR'!X6)</f>
        <v>3.6793876729986344E-3</v>
      </c>
      <c r="AB8">
        <f t="shared" si="2"/>
        <v>1.1449285027367497E-3</v>
      </c>
      <c r="AC8" s="3"/>
      <c r="AD8" t="s">
        <v>133</v>
      </c>
      <c r="AE8" t="s">
        <v>6</v>
      </c>
      <c r="AF8">
        <v>2.3460945530760838E-2</v>
      </c>
      <c r="AG8">
        <f>RESULTADOS_R!$T$18</f>
        <v>4.3639999999999998E-3</v>
      </c>
      <c r="AH8">
        <f t="shared" si="0"/>
        <v>1.9096945530760839E-2</v>
      </c>
      <c r="AI8" s="3"/>
      <c r="AJ8" t="s">
        <v>133</v>
      </c>
      <c r="AK8" t="s">
        <v>6</v>
      </c>
      <c r="AL8">
        <v>-7.3377688986083498E-3</v>
      </c>
      <c r="AM8">
        <v>-2.6581605685501656E-4</v>
      </c>
      <c r="AN8">
        <v>3.6545101265193594E-3</v>
      </c>
      <c r="AO8">
        <v>1.3785727087528303E-2</v>
      </c>
      <c r="AP8">
        <v>4.5608181442482664E-3</v>
      </c>
      <c r="AQ8">
        <f>RESULTADOS_R!$T$19+(RESULTADOS_R!$T$20*AL7)+(RESULTADOS_R!$T$21*AL6)+(RESULTADOS_R!$T$22*AL5)+(RESULTADOS_R!$T$23*AL4)</f>
        <v>-1.282639707187682E-3</v>
      </c>
      <c r="AR8">
        <f t="shared" si="5"/>
        <v>-6.0551291914206678E-3</v>
      </c>
      <c r="AS8" s="3"/>
      <c r="AT8" t="s">
        <v>133</v>
      </c>
      <c r="AU8" t="s">
        <v>6</v>
      </c>
      <c r="AV8">
        <v>-6.5742697842604619E-3</v>
      </c>
      <c r="AW8">
        <v>-2.8485970852067723E-4</v>
      </c>
      <c r="AX8">
        <v>0</v>
      </c>
      <c r="AY8">
        <f>RESULTADOS_R!$T$24+(RESULTADOS_R!$T$25*AV7)+(RESULTADOS_R!$T$26*AV6)</f>
        <v>8.4305731386937247E-4</v>
      </c>
      <c r="AZ8">
        <f t="shared" si="3"/>
        <v>-7.4173270981298346E-3</v>
      </c>
      <c r="BA8" s="3"/>
      <c r="BB8" t="s">
        <v>133</v>
      </c>
      <c r="BC8" t="s">
        <v>6</v>
      </c>
      <c r="BD8">
        <v>1.6078880976389542E-3</v>
      </c>
      <c r="BE8">
        <v>-5.6659518291044962E-4</v>
      </c>
      <c r="BF8">
        <f>RESULTADOS_R!$T$27+(RESULTADOS_R!$T$28*BD7)</f>
        <v>-4.2466982252114792E-5</v>
      </c>
      <c r="BG8">
        <f t="shared" si="1"/>
        <v>1.6503550798910691E-3</v>
      </c>
    </row>
    <row r="9" spans="1:59" x14ac:dyDescent="0.25">
      <c r="A9" t="s">
        <v>133</v>
      </c>
      <c r="B9" t="s">
        <v>7</v>
      </c>
      <c r="C9">
        <v>-1.567274317312246E-2</v>
      </c>
      <c r="D9">
        <v>-4.4815719742406779E-3</v>
      </c>
      <c r="E9">
        <v>1.4123661241137396E-2</v>
      </c>
      <c r="F9">
        <v>7.9335382142198957E-3</v>
      </c>
      <c r="G9">
        <v>-1.8051898964859928E-2</v>
      </c>
      <c r="H9">
        <f>RESULTADOS_R!$T$4+(RESULTADOS_R!$T$5*C8)+(RESULTADOS_R!$T$6*C7)+(RESULTADOS_R!$T$7*C6)+(RESULTADOS_R!$T$8*C5)</f>
        <v>-5.3046936230776538E-3</v>
      </c>
      <c r="I9">
        <f t="shared" si="4"/>
        <v>-1.0368049550044806E-2</v>
      </c>
      <c r="J9" s="3"/>
      <c r="K9" t="s">
        <v>133</v>
      </c>
      <c r="L9" t="s">
        <v>7</v>
      </c>
      <c r="M9">
        <v>5.8840837237535007E-4</v>
      </c>
      <c r="N9">
        <v>-1.0588859157515207E-3</v>
      </c>
      <c r="O9">
        <v>-1.1758480817820968E-4</v>
      </c>
      <c r="P9">
        <v>2.118644860285155E-3</v>
      </c>
      <c r="Q9">
        <v>1.0610080570945472E-3</v>
      </c>
      <c r="R9">
        <v>-4.716981219534771E-4</v>
      </c>
      <c r="S9">
        <f>RESULTADOS_R!$T$9+(RESULTADOS_R!$T$10*M8)+(RESULTADOS_R!$T$11*M7)+(RESULTADOS_R!$T$12*M6)+(RESULTADOS_R!$T$13*M5)+(RESULTADOS_R!$T$14*M4)</f>
        <v>-1.5796272508550091E-4</v>
      </c>
      <c r="T9">
        <f t="shared" si="6"/>
        <v>7.4637109746085104E-4</v>
      </c>
      <c r="U9" s="3"/>
      <c r="V9" t="s">
        <v>133</v>
      </c>
      <c r="W9" t="s">
        <v>7</v>
      </c>
      <c r="X9">
        <v>-2.0443572869707255E-3</v>
      </c>
      <c r="Y9">
        <v>4.8243161757353841E-3</v>
      </c>
      <c r="Z9">
        <v>-6.5654266204983967E-3</v>
      </c>
      <c r="AA9">
        <f>RESULTADOS_R!$T$15+(RESULTADOS_R!$T$16*'EV1-ER-AR'!X8)+(RESULTADOS_R!$T$17*'EV1-ER-AR'!X7)</f>
        <v>4.2499075038732303E-3</v>
      </c>
      <c r="AB9">
        <f t="shared" si="2"/>
        <v>-6.2942647908439554E-3</v>
      </c>
      <c r="AC9" s="3"/>
      <c r="AD9" t="s">
        <v>133</v>
      </c>
      <c r="AE9" t="s">
        <v>7</v>
      </c>
      <c r="AF9">
        <v>4.5991949285450057E-3</v>
      </c>
      <c r="AG9">
        <f>RESULTADOS_R!$T$18</f>
        <v>4.3639999999999998E-3</v>
      </c>
      <c r="AH9">
        <f t="shared" si="0"/>
        <v>2.3519492854500584E-4</v>
      </c>
      <c r="AI9" s="3"/>
      <c r="AJ9" t="s">
        <v>133</v>
      </c>
      <c r="AK9" t="s">
        <v>7</v>
      </c>
      <c r="AL9">
        <v>7.9423979837401609E-3</v>
      </c>
      <c r="AM9">
        <v>-7.3377688986083498E-3</v>
      </c>
      <c r="AN9">
        <v>-2.6581605685501656E-4</v>
      </c>
      <c r="AO9">
        <v>3.6545101265193594E-3</v>
      </c>
      <c r="AP9">
        <v>1.3785727087528303E-2</v>
      </c>
      <c r="AQ9">
        <f>RESULTADOS_R!$T$19+(RESULTADOS_R!$T$20*AL8)+(RESULTADOS_R!$T$21*AL7)+(RESULTADOS_R!$T$22*AL6)+(RESULTADOS_R!$T$23*AL5)</f>
        <v>7.9754386123533831E-4</v>
      </c>
      <c r="AR9">
        <f t="shared" si="5"/>
        <v>7.1448541225048222E-3</v>
      </c>
      <c r="AS9" s="3"/>
      <c r="AT9" t="s">
        <v>133</v>
      </c>
      <c r="AU9" t="s">
        <v>7</v>
      </c>
      <c r="AV9">
        <v>1.5649771667127815E-2</v>
      </c>
      <c r="AW9">
        <v>-6.5742697842604619E-3</v>
      </c>
      <c r="AX9">
        <v>-2.8485970852067723E-4</v>
      </c>
      <c r="AY9">
        <f>RESULTADOS_R!$T$24+(RESULTADOS_R!$T$25*AV8)+(RESULTADOS_R!$T$26*AV7)</f>
        <v>1.1864473940912663E-3</v>
      </c>
      <c r="AZ9">
        <f t="shared" si="3"/>
        <v>1.4463324273036548E-2</v>
      </c>
      <c r="BA9" s="3"/>
      <c r="BB9" t="s">
        <v>133</v>
      </c>
      <c r="BC9" t="s">
        <v>7</v>
      </c>
      <c r="BD9">
        <v>1.6759216441581326E-3</v>
      </c>
      <c r="BE9">
        <v>1.6078880976389542E-3</v>
      </c>
      <c r="BF9">
        <f>RESULTADOS_R!$T$27+(RESULTADOS_R!$T$28*BD8)</f>
        <v>3.7246135257729845E-4</v>
      </c>
      <c r="BG9">
        <f t="shared" si="1"/>
        <v>1.3034602915808341E-3</v>
      </c>
    </row>
    <row r="10" spans="1:59" x14ac:dyDescent="0.25">
      <c r="A10" t="s">
        <v>133</v>
      </c>
      <c r="B10" t="s">
        <v>8</v>
      </c>
      <c r="C10">
        <v>9.0495241234776758E-3</v>
      </c>
      <c r="D10">
        <v>-1.567274317312246E-2</v>
      </c>
      <c r="E10">
        <v>-4.4815719742406779E-3</v>
      </c>
      <c r="F10">
        <v>1.4123661241137396E-2</v>
      </c>
      <c r="G10">
        <v>7.9335382142198957E-3</v>
      </c>
      <c r="H10">
        <f>RESULTADOS_R!$T$4+(RESULTADOS_R!$T$5*C9)+(RESULTADOS_R!$T$6*C8)+(RESULTADOS_R!$T$7*C7)+(RESULTADOS_R!$T$8*C6)</f>
        <v>2.3414337476115234E-3</v>
      </c>
      <c r="I10">
        <f t="shared" si="4"/>
        <v>6.7080903758661523E-3</v>
      </c>
      <c r="J10" s="3"/>
      <c r="K10" t="s">
        <v>133</v>
      </c>
      <c r="L10" t="s">
        <v>8</v>
      </c>
      <c r="M10">
        <v>-5.8840837237544483E-4</v>
      </c>
      <c r="N10">
        <v>5.8840837237535007E-4</v>
      </c>
      <c r="O10">
        <v>-1.0588859157515207E-3</v>
      </c>
      <c r="P10">
        <v>-1.1758480817820968E-4</v>
      </c>
      <c r="Q10">
        <v>2.118644860285155E-3</v>
      </c>
      <c r="R10">
        <v>1.0610080570945472E-3</v>
      </c>
      <c r="S10">
        <f>RESULTADOS_R!$T$9+(RESULTADOS_R!$T$10*M9)+(RESULTADOS_R!$T$11*M8)+(RESULTADOS_R!$T$12*M7)+(RESULTADOS_R!$T$13*M6)+(RESULTADOS_R!$T$14*M5)</f>
        <v>-1.1922602590423583E-4</v>
      </c>
      <c r="T10">
        <f t="shared" si="6"/>
        <v>-4.6918234647120899E-4</v>
      </c>
      <c r="U10" s="3"/>
      <c r="V10" t="s">
        <v>133</v>
      </c>
      <c r="W10" t="s">
        <v>8</v>
      </c>
      <c r="X10">
        <v>4.3628561741953974E-2</v>
      </c>
      <c r="Y10">
        <v>-2.0443572869707255E-3</v>
      </c>
      <c r="Z10">
        <v>4.8243161757353841E-3</v>
      </c>
      <c r="AA10">
        <f>RESULTADOS_R!$T$15+(RESULTADOS_R!$T$16*'EV1-ER-AR'!X9)+(RESULTADOS_R!$T$17*'EV1-ER-AR'!X8)</f>
        <v>7.4111197261461691E-5</v>
      </c>
      <c r="AB10">
        <f t="shared" si="2"/>
        <v>4.3554450544692515E-2</v>
      </c>
      <c r="AC10" s="3"/>
      <c r="AD10" t="s">
        <v>133</v>
      </c>
      <c r="AE10" t="s">
        <v>8</v>
      </c>
      <c r="AF10">
        <v>6.008334429964915E-2</v>
      </c>
      <c r="AG10">
        <f>RESULTADOS_R!$T$18</f>
        <v>4.3639999999999998E-3</v>
      </c>
      <c r="AH10">
        <f t="shared" si="0"/>
        <v>5.571934429964915E-2</v>
      </c>
      <c r="AI10" s="3"/>
      <c r="AJ10" t="s">
        <v>133</v>
      </c>
      <c r="AK10" t="s">
        <v>8</v>
      </c>
      <c r="AL10">
        <v>1.2619511774484424E-4</v>
      </c>
      <c r="AM10">
        <v>7.9423979837401609E-3</v>
      </c>
      <c r="AN10">
        <v>-7.3377688986083498E-3</v>
      </c>
      <c r="AO10">
        <v>-2.6581605685501656E-4</v>
      </c>
      <c r="AP10">
        <v>3.6545101265193594E-3</v>
      </c>
      <c r="AQ10">
        <f>RESULTADOS_R!$T$19+(RESULTADOS_R!$T$20*AL9)+(RESULTADOS_R!$T$21*AL8)+(RESULTADOS_R!$T$22*AL7)+(RESULTADOS_R!$T$23*AL6)</f>
        <v>1.4186389339495139E-3</v>
      </c>
      <c r="AR10">
        <f t="shared" si="5"/>
        <v>-1.2924438162046697E-3</v>
      </c>
      <c r="AS10" s="3"/>
      <c r="AT10" t="s">
        <v>133</v>
      </c>
      <c r="AU10" t="s">
        <v>8</v>
      </c>
      <c r="AV10">
        <v>-5.6481221495880589E-4</v>
      </c>
      <c r="AW10">
        <v>1.5649771667127815E-2</v>
      </c>
      <c r="AX10">
        <v>-6.5742697842604619E-3</v>
      </c>
      <c r="AY10">
        <f>RESULTADOS_R!$T$24+(RESULTADOS_R!$T$25*AV9)+(RESULTADOS_R!$T$26*AV8)</f>
        <v>7.056571809980006E-4</v>
      </c>
      <c r="AZ10">
        <f t="shared" si="3"/>
        <v>-1.2704693959568066E-3</v>
      </c>
      <c r="BA10" s="3"/>
      <c r="BB10" t="s">
        <v>133</v>
      </c>
      <c r="BC10" t="s">
        <v>8</v>
      </c>
      <c r="BD10">
        <v>-1.5132332274363003E-4</v>
      </c>
      <c r="BE10">
        <v>1.6759216441581326E-3</v>
      </c>
      <c r="BF10">
        <f>RESULTADOS_R!$T$27+(RESULTADOS_R!$T$28*BD9)</f>
        <v>3.854433085308111E-4</v>
      </c>
      <c r="BG10">
        <f t="shared" si="1"/>
        <v>-5.3676663127444108E-4</v>
      </c>
    </row>
    <row r="11" spans="1:59" x14ac:dyDescent="0.25">
      <c r="A11" t="s">
        <v>133</v>
      </c>
      <c r="B11" t="s">
        <v>9</v>
      </c>
      <c r="C11">
        <v>6.3849982178079316E-3</v>
      </c>
      <c r="D11">
        <v>9.0495241234776758E-3</v>
      </c>
      <c r="E11">
        <v>-1.567274317312246E-2</v>
      </c>
      <c r="F11">
        <v>-4.4815719742406779E-3</v>
      </c>
      <c r="G11">
        <v>1.4123661241137396E-2</v>
      </c>
      <c r="H11">
        <f>RESULTADOS_R!$T$4+(RESULTADOS_R!$T$5*C10)+(RESULTADOS_R!$T$6*C9)+(RESULTADOS_R!$T$7*C8)+(RESULTADOS_R!$T$8*C7)</f>
        <v>7.6086963698058022E-3</v>
      </c>
      <c r="I11">
        <f t="shared" si="4"/>
        <v>-1.2236981519978705E-3</v>
      </c>
      <c r="J11" s="3"/>
      <c r="K11" t="s">
        <v>133</v>
      </c>
      <c r="L11" t="s">
        <v>9</v>
      </c>
      <c r="M11">
        <v>-1.177856437705781E-3</v>
      </c>
      <c r="N11">
        <v>-5.8840837237544483E-4</v>
      </c>
      <c r="O11">
        <v>5.8840837237535007E-4</v>
      </c>
      <c r="P11">
        <v>-1.0588859157515207E-3</v>
      </c>
      <c r="Q11">
        <v>-1.1758480817820968E-4</v>
      </c>
      <c r="R11">
        <v>2.118644860285155E-3</v>
      </c>
      <c r="S11">
        <f>RESULTADOS_R!$T$9+(RESULTADOS_R!$T$10*M10)+(RESULTADOS_R!$T$11*M9)+(RESULTADOS_R!$T$12*M8)+(RESULTADOS_R!$T$13*M7)+(RESULTADOS_R!$T$14*M6)</f>
        <v>5.7798162723673828E-5</v>
      </c>
      <c r="T11">
        <f t="shared" si="6"/>
        <v>-1.2356546004294549E-3</v>
      </c>
      <c r="U11" s="3"/>
      <c r="V11" t="s">
        <v>133</v>
      </c>
      <c r="W11" t="s">
        <v>9</v>
      </c>
      <c r="X11">
        <v>-1.0786029200664327E-3</v>
      </c>
      <c r="Y11">
        <v>4.3628561741953974E-2</v>
      </c>
      <c r="Z11">
        <v>-2.0443572869707255E-3</v>
      </c>
      <c r="AA11">
        <f>RESULTADOS_R!$T$15+(RESULTADOS_R!$T$16*'EV1-ER-AR'!X10)+(RESULTADOS_R!$T$17*'EV1-ER-AR'!X9)</f>
        <v>1.2379360761993306E-2</v>
      </c>
      <c r="AB11">
        <f t="shared" si="2"/>
        <v>-1.3457963682059738E-2</v>
      </c>
      <c r="AC11" s="3"/>
      <c r="AD11" t="s">
        <v>133</v>
      </c>
      <c r="AE11" t="s">
        <v>9</v>
      </c>
      <c r="AF11">
        <v>-8.4872470797619226E-3</v>
      </c>
      <c r="AG11">
        <f>RESULTADOS_R!$T$18</f>
        <v>4.3639999999999998E-3</v>
      </c>
      <c r="AH11">
        <f t="shared" si="0"/>
        <v>-1.2851247079761922E-2</v>
      </c>
      <c r="AI11" s="3"/>
      <c r="AJ11" t="s">
        <v>133</v>
      </c>
      <c r="AK11" t="s">
        <v>9</v>
      </c>
      <c r="AL11">
        <v>-7.6000365816503608E-3</v>
      </c>
      <c r="AM11">
        <v>1.2619511774484424E-4</v>
      </c>
      <c r="AN11">
        <v>7.9423979837401609E-3</v>
      </c>
      <c r="AO11">
        <v>-7.3377688986083498E-3</v>
      </c>
      <c r="AP11">
        <v>-2.6581605685501656E-4</v>
      </c>
      <c r="AQ11">
        <f>RESULTADOS_R!$T$19+(RESULTADOS_R!$T$20*AL10)+(RESULTADOS_R!$T$21*AL9)+(RESULTADOS_R!$T$22*AL8)+(RESULTADOS_R!$T$23*AL7)</f>
        <v>2.5057892611693258E-3</v>
      </c>
      <c r="AR11">
        <f t="shared" si="5"/>
        <v>-1.0105825842819686E-2</v>
      </c>
      <c r="AS11" s="3"/>
      <c r="AT11" t="s">
        <v>133</v>
      </c>
      <c r="AU11" t="s">
        <v>9</v>
      </c>
      <c r="AV11">
        <v>-1.2507269352394008E-2</v>
      </c>
      <c r="AW11">
        <v>-5.6481221495880589E-4</v>
      </c>
      <c r="AX11">
        <v>1.5649771667127815E-2</v>
      </c>
      <c r="AY11">
        <f>RESULTADOS_R!$T$24+(RESULTADOS_R!$T$25*AV10)+(RESULTADOS_R!$T$26*AV9)</f>
        <v>-7.1434959192861872E-4</v>
      </c>
      <c r="AZ11">
        <f t="shared" si="3"/>
        <v>-1.1792919760465389E-2</v>
      </c>
      <c r="BA11" s="3"/>
      <c r="BB11" t="s">
        <v>133</v>
      </c>
      <c r="BC11" t="s">
        <v>9</v>
      </c>
      <c r="BD11">
        <v>-4.2159814543970553E-3</v>
      </c>
      <c r="BE11">
        <v>-1.5132332274363003E-4</v>
      </c>
      <c r="BF11">
        <f>RESULTADOS_R!$T$27+(RESULTADOS_R!$T$28*BD10)</f>
        <v>3.6773940399171872E-5</v>
      </c>
      <c r="BG11">
        <f t="shared" si="1"/>
        <v>-4.2527553947962274E-3</v>
      </c>
    </row>
    <row r="12" spans="1:59" x14ac:dyDescent="0.25">
      <c r="A12" t="s">
        <v>133</v>
      </c>
      <c r="B12" t="s">
        <v>10</v>
      </c>
      <c r="C12">
        <v>1.0899843882292981E-2</v>
      </c>
      <c r="D12">
        <v>6.3849982178079316E-3</v>
      </c>
      <c r="E12">
        <v>9.0495241234776758E-3</v>
      </c>
      <c r="F12">
        <v>-1.567274317312246E-2</v>
      </c>
      <c r="G12">
        <v>-4.4815719742406779E-3</v>
      </c>
      <c r="H12">
        <f>RESULTADOS_R!$T$4+(RESULTADOS_R!$T$5*C11)+(RESULTADOS_R!$T$6*C10)+(RESULTADOS_R!$T$7*C9)+(RESULTADOS_R!$T$8*C8)</f>
        <v>3.1674297570623046E-3</v>
      </c>
      <c r="I12">
        <f t="shared" si="4"/>
        <v>7.7324141252306765E-3</v>
      </c>
      <c r="J12" s="3"/>
      <c r="K12" t="s">
        <v>133</v>
      </c>
      <c r="L12" t="s">
        <v>10</v>
      </c>
      <c r="M12">
        <v>-9.4328505992114268E-4</v>
      </c>
      <c r="N12">
        <v>-1.177856437705781E-3</v>
      </c>
      <c r="O12">
        <v>-5.8840837237544483E-4</v>
      </c>
      <c r="P12">
        <v>5.8840837237535007E-4</v>
      </c>
      <c r="Q12">
        <v>-1.0588859157515207E-3</v>
      </c>
      <c r="R12">
        <v>-1.1758480817820968E-4</v>
      </c>
      <c r="S12">
        <f>RESULTADOS_R!$T$9+(RESULTADOS_R!$T$10*M11)+(RESULTADOS_R!$T$11*M10)+(RESULTADOS_R!$T$12*M9)+(RESULTADOS_R!$T$13*M8)+(RESULTADOS_R!$T$14*M7)</f>
        <v>-6.7615558154037053E-6</v>
      </c>
      <c r="T12">
        <f t="shared" si="6"/>
        <v>-9.3652350410573901E-4</v>
      </c>
      <c r="U12" s="3"/>
      <c r="V12" t="s">
        <v>133</v>
      </c>
      <c r="W12" t="s">
        <v>10</v>
      </c>
      <c r="X12">
        <v>-3.1314731724091022E-2</v>
      </c>
      <c r="Y12">
        <v>-1.0786029200664327E-3</v>
      </c>
      <c r="Z12">
        <v>4.3628561741953974E-2</v>
      </c>
      <c r="AA12">
        <f>RESULTADOS_R!$T$15+(RESULTADOS_R!$T$16*'EV1-ER-AR'!X11)+(RESULTADOS_R!$T$17*'EV1-ER-AR'!X10)</f>
        <v>-8.4103596107054073E-3</v>
      </c>
      <c r="AB12">
        <f t="shared" si="2"/>
        <v>-2.2904372113385613E-2</v>
      </c>
      <c r="AC12" s="3"/>
      <c r="AD12" t="s">
        <v>133</v>
      </c>
      <c r="AE12" t="s">
        <v>10</v>
      </c>
      <c r="AF12">
        <v>-4.8589286494471598E-2</v>
      </c>
      <c r="AG12">
        <f>RESULTADOS_R!$T$18</f>
        <v>4.3639999999999998E-3</v>
      </c>
      <c r="AH12">
        <f t="shared" si="0"/>
        <v>-5.2953286494471598E-2</v>
      </c>
      <c r="AI12" s="3"/>
      <c r="AJ12" t="s">
        <v>133</v>
      </c>
      <c r="AK12" t="s">
        <v>10</v>
      </c>
      <c r="AL12">
        <v>-2.9824260164616765E-3</v>
      </c>
      <c r="AM12">
        <v>-7.6000365816503608E-3</v>
      </c>
      <c r="AN12">
        <v>1.2619511774484424E-4</v>
      </c>
      <c r="AO12">
        <v>7.9423979837401609E-3</v>
      </c>
      <c r="AP12">
        <v>-7.3377688986083498E-3</v>
      </c>
      <c r="AQ12">
        <f>RESULTADOS_R!$T$19+(RESULTADOS_R!$T$20*AL11)+(RESULTADOS_R!$T$21*AL10)+(RESULTADOS_R!$T$22*AL9)+(RESULTADOS_R!$T$23*AL8)</f>
        <v>-1.9986103229723659E-3</v>
      </c>
      <c r="AR12">
        <f t="shared" si="5"/>
        <v>-9.8381569348931055E-4</v>
      </c>
      <c r="AS12" s="3"/>
      <c r="AT12" t="s">
        <v>133</v>
      </c>
      <c r="AU12" t="s">
        <v>10</v>
      </c>
      <c r="AV12">
        <v>3.4266167166475134E-3</v>
      </c>
      <c r="AW12">
        <v>-1.2507269352394008E-2</v>
      </c>
      <c r="AX12">
        <v>-5.6481221495880589E-4</v>
      </c>
      <c r="AY12">
        <f>RESULTADOS_R!$T$24+(RESULTADOS_R!$T$25*AV11)+(RESULTADOS_R!$T$26*AV10)</f>
        <v>1.5115062814716833E-3</v>
      </c>
      <c r="AZ12">
        <f t="shared" si="3"/>
        <v>1.9151104351758301E-3</v>
      </c>
      <c r="BA12" s="3"/>
      <c r="BB12" t="s">
        <v>133</v>
      </c>
      <c r="BC12" t="s">
        <v>10</v>
      </c>
      <c r="BD12">
        <v>-4.0608780590132062E-3</v>
      </c>
      <c r="BE12">
        <v>-4.2159814543970553E-3</v>
      </c>
      <c r="BF12">
        <f>RESULTADOS_R!$T$27+(RESULTADOS_R!$T$28*BD11)</f>
        <v>-7.3883185308003523E-4</v>
      </c>
      <c r="BG12">
        <f t="shared" si="1"/>
        <v>-3.3220462059331711E-3</v>
      </c>
    </row>
    <row r="13" spans="1:59" x14ac:dyDescent="0.25">
      <c r="A13" t="s">
        <v>133</v>
      </c>
      <c r="B13" t="s">
        <v>11</v>
      </c>
      <c r="C13">
        <v>-1.3812854887165905E-3</v>
      </c>
      <c r="D13">
        <v>1.0899843882292981E-2</v>
      </c>
      <c r="E13">
        <v>6.3849982178079316E-3</v>
      </c>
      <c r="F13">
        <v>9.0495241234776758E-3</v>
      </c>
      <c r="G13">
        <v>-1.567274317312246E-2</v>
      </c>
      <c r="H13">
        <f>RESULTADOS_R!$T$4+(RESULTADOS_R!$T$5*C12)+(RESULTADOS_R!$T$6*C11)+(RESULTADOS_R!$T$7*C10)+(RESULTADOS_R!$T$8*C9)</f>
        <v>-5.5072949731323467E-3</v>
      </c>
      <c r="I13">
        <f t="shared" si="4"/>
        <v>4.1260094844157557E-3</v>
      </c>
      <c r="J13" s="3"/>
      <c r="K13" t="s">
        <v>133</v>
      </c>
      <c r="L13" t="s">
        <v>11</v>
      </c>
      <c r="M13">
        <v>1.1795930417699823E-4</v>
      </c>
      <c r="N13">
        <v>-9.4328505992114268E-4</v>
      </c>
      <c r="O13">
        <v>-1.177856437705781E-3</v>
      </c>
      <c r="P13">
        <v>-5.8840837237544483E-4</v>
      </c>
      <c r="Q13">
        <v>5.8840837237535007E-4</v>
      </c>
      <c r="R13">
        <v>-1.0588859157515207E-3</v>
      </c>
      <c r="S13">
        <f>RESULTADOS_R!$T$9+(RESULTADOS_R!$T$10*M12)+(RESULTADOS_R!$T$11*M11)+(RESULTADOS_R!$T$12*M10)+(RESULTADOS_R!$T$13*M9)+(RESULTADOS_R!$T$14*M8)</f>
        <v>3.0199078907325197E-4</v>
      </c>
      <c r="T13">
        <f t="shared" si="6"/>
        <v>-1.8403148489625374E-4</v>
      </c>
      <c r="U13" s="3"/>
      <c r="V13" t="s">
        <v>133</v>
      </c>
      <c r="W13" t="s">
        <v>11</v>
      </c>
      <c r="X13">
        <v>6.3402620219573016E-3</v>
      </c>
      <c r="Y13">
        <v>-3.1314731724091022E-2</v>
      </c>
      <c r="Z13">
        <v>-1.0786029200664327E-3</v>
      </c>
      <c r="AA13">
        <f>RESULTADOS_R!$T$15+(RESULTADOS_R!$T$16*'EV1-ER-AR'!X12)+(RESULTADOS_R!$T$17*'EV1-ER-AR'!X11)</f>
        <v>-5.4983753565112439E-3</v>
      </c>
      <c r="AB13">
        <f t="shared" si="2"/>
        <v>1.1838637378468546E-2</v>
      </c>
      <c r="AC13" s="3"/>
      <c r="AD13" t="s">
        <v>133</v>
      </c>
      <c r="AE13" t="s">
        <v>11</v>
      </c>
      <c r="AF13">
        <v>2.3767565041683415E-2</v>
      </c>
      <c r="AG13">
        <f>RESULTADOS_R!$T$18</f>
        <v>4.3639999999999998E-3</v>
      </c>
      <c r="AH13">
        <f t="shared" si="0"/>
        <v>1.9403565041683415E-2</v>
      </c>
      <c r="AI13" s="3"/>
      <c r="AJ13" t="s">
        <v>133</v>
      </c>
      <c r="AK13" t="s">
        <v>11</v>
      </c>
      <c r="AL13">
        <v>2.0450933286586905E-3</v>
      </c>
      <c r="AM13">
        <v>-2.9824260164616765E-3</v>
      </c>
      <c r="AN13">
        <v>-7.6000365816503608E-3</v>
      </c>
      <c r="AO13">
        <v>1.2619511774484424E-4</v>
      </c>
      <c r="AP13">
        <v>7.9423979837401609E-3</v>
      </c>
      <c r="AQ13">
        <f>RESULTADOS_R!$T$19+(RESULTADOS_R!$T$20*AL12)+(RESULTADOS_R!$T$21*AL11)+(RESULTADOS_R!$T$22*AL10)+(RESULTADOS_R!$T$23*AL9)</f>
        <v>9.1327406829251221E-4</v>
      </c>
      <c r="AR13">
        <f t="shared" si="5"/>
        <v>1.1318192603661783E-3</v>
      </c>
      <c r="AS13" s="3"/>
      <c r="AT13" t="s">
        <v>133</v>
      </c>
      <c r="AU13" t="s">
        <v>11</v>
      </c>
      <c r="AV13">
        <v>6.2517964352687668E-3</v>
      </c>
      <c r="AW13">
        <v>3.4266167166475134E-3</v>
      </c>
      <c r="AX13">
        <v>-1.2507269352394008E-2</v>
      </c>
      <c r="AY13">
        <f>RESULTADOS_R!$T$24+(RESULTADOS_R!$T$25*AV12)+(RESULTADOS_R!$T$26*AV11)</f>
        <v>1.9131717326516229E-3</v>
      </c>
      <c r="AZ13">
        <f t="shared" si="3"/>
        <v>4.3386247026171443E-3</v>
      </c>
      <c r="BA13" s="3"/>
      <c r="BB13" t="s">
        <v>133</v>
      </c>
      <c r="BC13" t="s">
        <v>11</v>
      </c>
      <c r="BD13">
        <v>1.5552339797117404E-3</v>
      </c>
      <c r="BE13">
        <v>-4.0608780590132062E-3</v>
      </c>
      <c r="BF13">
        <f>RESULTADOS_R!$T$27+(RESULTADOS_R!$T$28*BD12)</f>
        <v>-7.092354914300399E-4</v>
      </c>
      <c r="BG13">
        <f t="shared" si="1"/>
        <v>2.2644694711417804E-3</v>
      </c>
    </row>
    <row r="14" spans="1:59" x14ac:dyDescent="0.25">
      <c r="A14" t="s">
        <v>133</v>
      </c>
      <c r="B14" t="s">
        <v>12</v>
      </c>
      <c r="C14">
        <v>9.8962548042047377E-3</v>
      </c>
      <c r="D14">
        <v>-1.3812854887165905E-3</v>
      </c>
      <c r="E14">
        <v>1.0899843882292981E-2</v>
      </c>
      <c r="F14">
        <v>6.3849982178079316E-3</v>
      </c>
      <c r="G14">
        <v>9.0495241234776758E-3</v>
      </c>
      <c r="H14">
        <f>RESULTADOS_R!$T$4+(RESULTADOS_R!$T$5*C13)+(RESULTADOS_R!$T$6*C12)+(RESULTADOS_R!$T$7*C11)+(RESULTADOS_R!$T$8*C10)</f>
        <v>5.2330878103066451E-4</v>
      </c>
      <c r="I14">
        <f t="shared" si="4"/>
        <v>9.3729460231740738E-3</v>
      </c>
      <c r="J14" s="3"/>
      <c r="K14" t="s">
        <v>133</v>
      </c>
      <c r="L14" t="s">
        <v>12</v>
      </c>
      <c r="M14">
        <v>-2.3593252439273968E-4</v>
      </c>
      <c r="N14">
        <v>1.1795930417699823E-4</v>
      </c>
      <c r="O14">
        <v>-9.4328505992114268E-4</v>
      </c>
      <c r="P14">
        <v>-1.177856437705781E-3</v>
      </c>
      <c r="Q14">
        <v>-5.8840837237544483E-4</v>
      </c>
      <c r="R14">
        <v>5.8840837237535007E-4</v>
      </c>
      <c r="S14">
        <f>RESULTADOS_R!$T$9+(RESULTADOS_R!$T$10*M13)+(RESULTADOS_R!$T$11*M12)+(RESULTADOS_R!$T$12*M11)+(RESULTADOS_R!$T$13*M10)+(RESULTADOS_R!$T$14*M9)</f>
        <v>7.2008167142178332E-5</v>
      </c>
      <c r="T14">
        <f t="shared" si="6"/>
        <v>-3.0794069153491802E-4</v>
      </c>
      <c r="U14" s="3"/>
      <c r="V14" t="s">
        <v>133</v>
      </c>
      <c r="W14" t="s">
        <v>12</v>
      </c>
      <c r="X14">
        <v>-2.0424903205006565E-2</v>
      </c>
      <c r="Y14">
        <v>6.3402620219573016E-3</v>
      </c>
      <c r="Z14">
        <v>-3.1314731724091022E-2</v>
      </c>
      <c r="AA14">
        <f>RESULTADOS_R!$T$15+(RESULTADOS_R!$T$16*'EV1-ER-AR'!X13)+(RESULTADOS_R!$T$17*'EV1-ER-AR'!X12)</f>
        <v>1.0163691490879239E-2</v>
      </c>
      <c r="AB14">
        <f t="shared" si="2"/>
        <v>-3.0588594695885804E-2</v>
      </c>
      <c r="AC14" s="3"/>
      <c r="AD14" t="s">
        <v>133</v>
      </c>
      <c r="AE14" t="s">
        <v>12</v>
      </c>
      <c r="AF14">
        <v>-3.0161596058970803E-2</v>
      </c>
      <c r="AG14">
        <f>RESULTADOS_R!$T$18</f>
        <v>4.3639999999999998E-3</v>
      </c>
      <c r="AH14">
        <f t="shared" si="0"/>
        <v>-3.4525596058970806E-2</v>
      </c>
      <c r="AI14" s="3"/>
      <c r="AJ14" t="s">
        <v>133</v>
      </c>
      <c r="AK14" t="s">
        <v>12</v>
      </c>
      <c r="AL14">
        <v>-7.8882210734299227E-3</v>
      </c>
      <c r="AM14">
        <v>2.0450933286586905E-3</v>
      </c>
      <c r="AN14">
        <v>-2.9824260164616765E-3</v>
      </c>
      <c r="AO14">
        <v>-7.6000365816503608E-3</v>
      </c>
      <c r="AP14">
        <v>1.2619511774484424E-4</v>
      </c>
      <c r="AQ14">
        <f>RESULTADOS_R!$T$19+(RESULTADOS_R!$T$20*AL13)+(RESULTADOS_R!$T$21*AL12)+(RESULTADOS_R!$T$22*AL11)+(RESULTADOS_R!$T$23*AL10)</f>
        <v>2.2380231853747481E-3</v>
      </c>
      <c r="AR14">
        <f t="shared" si="5"/>
        <v>-1.0126244258804672E-2</v>
      </c>
      <c r="AS14" s="3"/>
      <c r="AT14" t="s">
        <v>133</v>
      </c>
      <c r="AU14" t="s">
        <v>12</v>
      </c>
      <c r="AV14">
        <v>-1.5991203126292017E-2</v>
      </c>
      <c r="AW14">
        <v>6.2517964352687668E-3</v>
      </c>
      <c r="AX14">
        <v>3.4266167166475134E-3</v>
      </c>
      <c r="AY14">
        <f>RESULTADOS_R!$T$24+(RESULTADOS_R!$T$25*AV13)+(RESULTADOS_R!$T$26*AV12)</f>
        <v>1.7182364577054417E-4</v>
      </c>
      <c r="AZ14">
        <f t="shared" si="3"/>
        <v>-1.616302677206256E-2</v>
      </c>
      <c r="BA14" s="3"/>
      <c r="BB14" t="s">
        <v>133</v>
      </c>
      <c r="BC14" t="s">
        <v>12</v>
      </c>
      <c r="BD14">
        <v>-1.6874895994966857E-3</v>
      </c>
      <c r="BE14">
        <v>1.5552339797117404E-3</v>
      </c>
      <c r="BF14">
        <f>RESULTADOS_R!$T$27+(RESULTADOS_R!$T$28*BD13)</f>
        <v>3.6241405275720955E-4</v>
      </c>
      <c r="BG14">
        <f t="shared" si="1"/>
        <v>-2.0499036522538955E-3</v>
      </c>
    </row>
    <row r="15" spans="1:59" x14ac:dyDescent="0.25">
      <c r="A15" t="s">
        <v>133</v>
      </c>
      <c r="B15" t="s">
        <v>13</v>
      </c>
      <c r="C15">
        <v>-2.004879209332803E-3</v>
      </c>
      <c r="D15">
        <v>9.8962548042047377E-3</v>
      </c>
      <c r="E15">
        <v>-1.3812854887165905E-3</v>
      </c>
      <c r="F15">
        <v>1.0899843882292981E-2</v>
      </c>
      <c r="G15">
        <v>6.3849982178079316E-3</v>
      </c>
      <c r="H15">
        <f>RESULTADOS_R!$T$4+(RESULTADOS_R!$T$5*C14)+(RESULTADOS_R!$T$6*C13)+(RESULTADOS_R!$T$7*C12)+(RESULTADOS_R!$T$8*C11)</f>
        <v>-3.5489755893629185E-4</v>
      </c>
      <c r="I15">
        <f t="shared" si="4"/>
        <v>-1.6499816503965112E-3</v>
      </c>
      <c r="J15" s="3"/>
      <c r="K15" t="s">
        <v>133</v>
      </c>
      <c r="L15" t="s">
        <v>13</v>
      </c>
      <c r="M15">
        <v>4.7180939775896174E-4</v>
      </c>
      <c r="N15">
        <v>-2.3593252439273968E-4</v>
      </c>
      <c r="O15">
        <v>1.1795930417699823E-4</v>
      </c>
      <c r="P15">
        <v>-9.4328505992114268E-4</v>
      </c>
      <c r="Q15">
        <v>-1.177856437705781E-3</v>
      </c>
      <c r="R15">
        <v>-5.8840837237544483E-4</v>
      </c>
      <c r="S15">
        <f>RESULTADOS_R!$T$9+(RESULTADOS_R!$T$10*M14)+(RESULTADOS_R!$T$11*M13)+(RESULTADOS_R!$T$12*M12)+(RESULTADOS_R!$T$13*M11)+(RESULTADOS_R!$T$14*M10)</f>
        <v>2.0183882117430697E-4</v>
      </c>
      <c r="T15">
        <f t="shared" si="6"/>
        <v>2.6997057658465477E-4</v>
      </c>
      <c r="U15" s="3"/>
      <c r="V15" t="s">
        <v>133</v>
      </c>
      <c r="W15" t="s">
        <v>13</v>
      </c>
      <c r="X15">
        <v>-1.9423912358494486E-2</v>
      </c>
      <c r="Y15">
        <v>-2.0424903205006565E-2</v>
      </c>
      <c r="Z15">
        <v>6.3402620219573016E-3</v>
      </c>
      <c r="AA15">
        <f>RESULTADOS_R!$T$15+(RESULTADOS_R!$T$16*'EV1-ER-AR'!X14)+(RESULTADOS_R!$T$17*'EV1-ER-AR'!X13)</f>
        <v>-4.5977426619179321E-3</v>
      </c>
      <c r="AB15">
        <f t="shared" si="2"/>
        <v>-1.4826169696576554E-2</v>
      </c>
      <c r="AC15" s="3"/>
      <c r="AD15" t="s">
        <v>133</v>
      </c>
      <c r="AE15" t="s">
        <v>13</v>
      </c>
      <c r="AF15">
        <v>-3.017718110100567E-2</v>
      </c>
      <c r="AG15">
        <f>RESULTADOS_R!$T$18</f>
        <v>4.3639999999999998E-3</v>
      </c>
      <c r="AH15">
        <f t="shared" si="0"/>
        <v>-3.4541181101005666E-2</v>
      </c>
      <c r="AI15" s="3"/>
      <c r="AJ15" t="s">
        <v>133</v>
      </c>
      <c r="AK15" t="s">
        <v>13</v>
      </c>
      <c r="AL15">
        <v>5.7894296221790258E-3</v>
      </c>
      <c r="AM15">
        <v>-7.8882210734299227E-3</v>
      </c>
      <c r="AN15">
        <v>2.0450933286586905E-3</v>
      </c>
      <c r="AO15">
        <v>-2.9824260164616765E-3</v>
      </c>
      <c r="AP15">
        <v>-7.6000365816503608E-3</v>
      </c>
      <c r="AQ15">
        <f>RESULTADOS_R!$T$19+(RESULTADOS_R!$T$20*AL14)+(RESULTADOS_R!$T$21*AL13)+(RESULTADOS_R!$T$22*AL12)+(RESULTADOS_R!$T$23*AL11)</f>
        <v>1.1953267157622041E-4</v>
      </c>
      <c r="AR15">
        <f t="shared" si="5"/>
        <v>5.6698969506028055E-3</v>
      </c>
      <c r="AS15" s="3"/>
      <c r="AT15" t="s">
        <v>133</v>
      </c>
      <c r="AU15" t="s">
        <v>13</v>
      </c>
      <c r="AV15">
        <v>1.1507481131781498E-3</v>
      </c>
      <c r="AW15">
        <v>-1.5991203126292017E-2</v>
      </c>
      <c r="AX15">
        <v>6.2517964352687668E-3</v>
      </c>
      <c r="AY15">
        <f>RESULTADOS_R!$T$24+(RESULTADOS_R!$T$25*AV14)+(RESULTADOS_R!$T$26*AV13)</f>
        <v>1.0014116308922202E-3</v>
      </c>
      <c r="AZ15">
        <f t="shared" si="3"/>
        <v>1.4933648228592964E-4</v>
      </c>
      <c r="BA15" s="3"/>
      <c r="BB15" t="s">
        <v>133</v>
      </c>
      <c r="BC15" t="s">
        <v>13</v>
      </c>
      <c r="BD15">
        <v>-2.9140577959781326E-3</v>
      </c>
      <c r="BE15">
        <v>-1.6874895994966857E-3</v>
      </c>
      <c r="BF15">
        <f>RESULTADOS_R!$T$27+(RESULTADOS_R!$T$28*BD14)</f>
        <v>-2.5635267084485672E-4</v>
      </c>
      <c r="BG15">
        <f t="shared" si="1"/>
        <v>-2.6577051251332759E-3</v>
      </c>
    </row>
    <row r="16" spans="1:59" x14ac:dyDescent="0.25">
      <c r="A16" t="s">
        <v>133</v>
      </c>
      <c r="B16" t="s">
        <v>14</v>
      </c>
      <c r="C16">
        <v>2.7389956331194004E-3</v>
      </c>
      <c r="D16">
        <v>-2.004879209332803E-3</v>
      </c>
      <c r="E16">
        <v>9.8962548042047377E-3</v>
      </c>
      <c r="F16">
        <v>-1.3812854887165905E-3</v>
      </c>
      <c r="G16">
        <v>1.0899843882292981E-2</v>
      </c>
      <c r="H16">
        <f>RESULTADOS_R!$T$4+(RESULTADOS_R!$T$5*C15)+(RESULTADOS_R!$T$6*C14)+(RESULTADOS_R!$T$7*C13)+(RESULTADOS_R!$T$8*C12)</f>
        <v>3.1456956586363525E-3</v>
      </c>
      <c r="I16">
        <f t="shared" si="4"/>
        <v>-4.0670002551695212E-4</v>
      </c>
      <c r="J16" s="3"/>
      <c r="K16" t="s">
        <v>133</v>
      </c>
      <c r="L16" t="s">
        <v>14</v>
      </c>
      <c r="M16">
        <v>0</v>
      </c>
      <c r="N16">
        <v>4.7180939775896174E-4</v>
      </c>
      <c r="O16">
        <v>-2.3593252439273968E-4</v>
      </c>
      <c r="P16">
        <v>1.1795930417699823E-4</v>
      </c>
      <c r="Q16">
        <v>-9.4328505992114268E-4</v>
      </c>
      <c r="R16">
        <v>-1.177856437705781E-3</v>
      </c>
      <c r="S16">
        <f>RESULTADOS_R!$T$9+(RESULTADOS_R!$T$10*M15)+(RESULTADOS_R!$T$11*M14)+(RESULTADOS_R!$T$12*M13)+(RESULTADOS_R!$T$13*M12)+(RESULTADOS_R!$T$14*M11)</f>
        <v>-1.6623495840774479E-5</v>
      </c>
      <c r="T16">
        <f t="shared" si="6"/>
        <v>1.6623495840774479E-5</v>
      </c>
      <c r="U16" s="3"/>
      <c r="V16" t="s">
        <v>133</v>
      </c>
      <c r="W16" t="s">
        <v>14</v>
      </c>
      <c r="X16">
        <v>6.9820084663225375E-3</v>
      </c>
      <c r="Y16">
        <v>-1.9423912358494486E-2</v>
      </c>
      <c r="Z16">
        <v>-2.0424903205006565E-2</v>
      </c>
      <c r="AA16">
        <f>RESULTADOS_R!$T$15+(RESULTADOS_R!$T$16*'EV1-ER-AR'!X15)+(RESULTADOS_R!$T$17*'EV1-ER-AR'!X14)</f>
        <v>1.6472753785999033E-3</v>
      </c>
      <c r="AB16">
        <f t="shared" si="2"/>
        <v>5.3347330877226342E-3</v>
      </c>
      <c r="AC16" s="3"/>
      <c r="AD16" t="s">
        <v>133</v>
      </c>
      <c r="AE16" t="s">
        <v>14</v>
      </c>
      <c r="AF16">
        <v>1.1382036451753839E-2</v>
      </c>
      <c r="AG16">
        <f>RESULTADOS_R!$T$18</f>
        <v>4.3639999999999998E-3</v>
      </c>
      <c r="AH16">
        <f t="shared" si="0"/>
        <v>7.0180364517538393E-3</v>
      </c>
      <c r="AI16" s="3"/>
      <c r="AJ16" t="s">
        <v>133</v>
      </c>
      <c r="AK16" t="s">
        <v>14</v>
      </c>
      <c r="AL16">
        <v>1.4220268959227616E-3</v>
      </c>
      <c r="AM16">
        <v>5.7894296221790258E-3</v>
      </c>
      <c r="AN16">
        <v>-7.8882210734299227E-3</v>
      </c>
      <c r="AO16">
        <v>2.0450933286586905E-3</v>
      </c>
      <c r="AP16">
        <v>-2.9824260164616765E-3</v>
      </c>
      <c r="AQ16">
        <f>RESULTADOS_R!$T$19+(RESULTADOS_R!$T$20*AL15)+(RESULTADOS_R!$T$21*AL14)+(RESULTADOS_R!$T$22*AL13)+(RESULTADOS_R!$T$23*AL12)</f>
        <v>1.706313191948108E-4</v>
      </c>
      <c r="AR16">
        <f t="shared" si="5"/>
        <v>1.2513955767279508E-3</v>
      </c>
      <c r="AS16" s="3"/>
      <c r="AT16" t="s">
        <v>133</v>
      </c>
      <c r="AU16" t="s">
        <v>14</v>
      </c>
      <c r="AV16">
        <v>7.4477571420537075E-3</v>
      </c>
      <c r="AW16">
        <v>1.1507481131781498E-3</v>
      </c>
      <c r="AX16">
        <v>-1.5991203126292017E-2</v>
      </c>
      <c r="AY16">
        <f>RESULTADOS_R!$T$24+(RESULTADOS_R!$T$25*AV15)+(RESULTADOS_R!$T$26*AV14)</f>
        <v>2.3769070035469832E-3</v>
      </c>
      <c r="AZ16">
        <f t="shared" si="3"/>
        <v>5.0708501385067243E-3</v>
      </c>
      <c r="BA16" s="3"/>
      <c r="BB16" t="s">
        <v>133</v>
      </c>
      <c r="BC16" t="s">
        <v>14</v>
      </c>
      <c r="BD16">
        <v>-4.0386744669215291E-3</v>
      </c>
      <c r="BE16">
        <v>-2.9140577959781326E-3</v>
      </c>
      <c r="BF16">
        <f>RESULTADOS_R!$T$27+(RESULTADOS_R!$T$28*BD15)</f>
        <v>-4.9040271108806118E-4</v>
      </c>
      <c r="BG16">
        <f t="shared" si="1"/>
        <v>-3.5482717558334678E-3</v>
      </c>
    </row>
    <row r="17" spans="1:59" x14ac:dyDescent="0.25">
      <c r="A17" t="s">
        <v>133</v>
      </c>
      <c r="B17" t="s">
        <v>15</v>
      </c>
      <c r="C17">
        <v>-3.9103674432899131E-3</v>
      </c>
      <c r="D17">
        <v>2.7389956331194004E-3</v>
      </c>
      <c r="E17">
        <v>-2.004879209332803E-3</v>
      </c>
      <c r="F17">
        <v>9.8962548042047377E-3</v>
      </c>
      <c r="G17">
        <v>-1.3812854887165905E-3</v>
      </c>
      <c r="H17">
        <f>RESULTADOS_R!$T$4+(RESULTADOS_R!$T$5*C16)+(RESULTADOS_R!$T$6*C15)+(RESULTADOS_R!$T$7*C14)+(RESULTADOS_R!$T$8*C13)</f>
        <v>-7.2138941415601625E-4</v>
      </c>
      <c r="I17">
        <f t="shared" si="4"/>
        <v>-3.188978029133897E-3</v>
      </c>
      <c r="J17" s="3"/>
      <c r="K17" t="s">
        <v>133</v>
      </c>
      <c r="L17" t="s">
        <v>15</v>
      </c>
      <c r="M17">
        <v>3.5371102178606594E-4</v>
      </c>
      <c r="N17">
        <v>0</v>
      </c>
      <c r="O17">
        <v>4.7180939775896174E-4</v>
      </c>
      <c r="P17">
        <v>-2.3593252439273968E-4</v>
      </c>
      <c r="Q17">
        <v>1.1795930417699823E-4</v>
      </c>
      <c r="R17">
        <v>-9.4328505992114268E-4</v>
      </c>
      <c r="S17">
        <f>RESULTADOS_R!$T$9+(RESULTADOS_R!$T$10*M16)+(RESULTADOS_R!$T$11*M15)+(RESULTADOS_R!$T$12*M14)+(RESULTADOS_R!$T$13*M13)+(RESULTADOS_R!$T$14*M12)</f>
        <v>1.436390990586069E-4</v>
      </c>
      <c r="T17">
        <f t="shared" si="6"/>
        <v>2.1007192272745904E-4</v>
      </c>
      <c r="U17" s="3"/>
      <c r="V17" t="s">
        <v>133</v>
      </c>
      <c r="W17" t="s">
        <v>15</v>
      </c>
      <c r="X17">
        <v>-1.6259978972319483E-2</v>
      </c>
      <c r="Y17">
        <v>6.9820084663225375E-3</v>
      </c>
      <c r="Z17">
        <v>-1.9423912358494486E-2</v>
      </c>
      <c r="AA17">
        <f>RESULTADOS_R!$T$15+(RESULTADOS_R!$T$16*'EV1-ER-AR'!X16)+(RESULTADOS_R!$T$17*'EV1-ER-AR'!X15)</f>
        <v>7.6452800044908426E-3</v>
      </c>
      <c r="AB17">
        <f t="shared" si="2"/>
        <v>-2.3905258976810326E-2</v>
      </c>
      <c r="AC17" s="3"/>
      <c r="AD17" t="s">
        <v>133</v>
      </c>
      <c r="AE17" t="s">
        <v>15</v>
      </c>
      <c r="AF17">
        <v>-2.5066071909459389E-2</v>
      </c>
      <c r="AG17">
        <f>RESULTADOS_R!$T$18</f>
        <v>4.3639999999999998E-3</v>
      </c>
      <c r="AH17">
        <f t="shared" si="0"/>
        <v>-2.9430071909459388E-2</v>
      </c>
      <c r="AI17" s="3"/>
      <c r="AJ17" t="s">
        <v>133</v>
      </c>
      <c r="AK17" t="s">
        <v>15</v>
      </c>
      <c r="AL17">
        <v>-1.2005407228018003E-3</v>
      </c>
      <c r="AM17">
        <v>1.4220268959227616E-3</v>
      </c>
      <c r="AN17">
        <v>5.7894296221790258E-3</v>
      </c>
      <c r="AO17">
        <v>-7.8882210734299227E-3</v>
      </c>
      <c r="AP17">
        <v>2.0450933286586905E-3</v>
      </c>
      <c r="AQ17">
        <f>RESULTADOS_R!$T$19+(RESULTADOS_R!$T$20*AL16)+(RESULTADOS_R!$T$21*AL15)+(RESULTADOS_R!$T$22*AL14)+(RESULTADOS_R!$T$23*AL13)</f>
        <v>2.8260559349652481E-3</v>
      </c>
      <c r="AR17">
        <f t="shared" si="5"/>
        <v>-4.0265966577670486E-3</v>
      </c>
      <c r="AS17" s="3"/>
      <c r="AT17" t="s">
        <v>133</v>
      </c>
      <c r="AU17" t="s">
        <v>15</v>
      </c>
      <c r="AV17">
        <v>1.2036132663990542E-3</v>
      </c>
      <c r="AW17">
        <v>7.4477571420537075E-3</v>
      </c>
      <c r="AX17">
        <v>1.1507481131781498E-3</v>
      </c>
      <c r="AY17">
        <f>RESULTADOS_R!$T$24+(RESULTADOS_R!$T$25*AV16)+(RESULTADOS_R!$T$26*AV15)</f>
        <v>3.4048906147187015E-4</v>
      </c>
      <c r="AZ17">
        <f t="shared" si="3"/>
        <v>8.63124204927184E-4</v>
      </c>
      <c r="BA17" s="3"/>
      <c r="BB17" t="s">
        <v>133</v>
      </c>
      <c r="BC17" t="s">
        <v>15</v>
      </c>
      <c r="BD17">
        <v>-3.335234941626452E-3</v>
      </c>
      <c r="BE17">
        <v>-4.0386744669215291E-3</v>
      </c>
      <c r="BF17">
        <f>RESULTADOS_R!$T$27+(RESULTADOS_R!$T$28*BD16)</f>
        <v>-7.049986690197506E-4</v>
      </c>
      <c r="BG17">
        <f t="shared" si="1"/>
        <v>-2.6302362726067013E-3</v>
      </c>
    </row>
    <row r="18" spans="1:59" x14ac:dyDescent="0.25">
      <c r="A18" t="s">
        <v>133</v>
      </c>
      <c r="B18" t="s">
        <v>16</v>
      </c>
      <c r="C18">
        <v>6.8414557090428424E-3</v>
      </c>
      <c r="D18">
        <v>-3.9103674432899131E-3</v>
      </c>
      <c r="E18">
        <v>2.7389956331194004E-3</v>
      </c>
      <c r="F18">
        <v>-2.004879209332803E-3</v>
      </c>
      <c r="G18">
        <v>9.8962548042047377E-3</v>
      </c>
      <c r="H18">
        <f>RESULTADOS_R!$T$4+(RESULTADOS_R!$T$5*C17)+(RESULTADOS_R!$T$6*C16)+(RESULTADOS_R!$T$7*C15)+(RESULTADOS_R!$T$8*C14)</f>
        <v>4.4978552990558342E-3</v>
      </c>
      <c r="I18">
        <f t="shared" si="4"/>
        <v>2.3436004099870083E-3</v>
      </c>
      <c r="J18" s="3"/>
      <c r="K18" t="s">
        <v>133</v>
      </c>
      <c r="L18" t="s">
        <v>16</v>
      </c>
      <c r="M18">
        <v>-4.7164250373163554E-4</v>
      </c>
      <c r="N18">
        <v>3.5371102178606594E-4</v>
      </c>
      <c r="O18">
        <v>0</v>
      </c>
      <c r="P18">
        <v>4.7180939775896174E-4</v>
      </c>
      <c r="Q18">
        <v>-2.3593252439273968E-4</v>
      </c>
      <c r="R18">
        <v>1.1795930417699823E-4</v>
      </c>
      <c r="S18">
        <f>RESULTADOS_R!$T$9+(RESULTADOS_R!$T$10*M17)+(RESULTADOS_R!$T$11*M16)+(RESULTADOS_R!$T$12*M15)+(RESULTADOS_R!$T$13*M14)+(RESULTADOS_R!$T$14*M13)</f>
        <v>-1.5496612655017464E-4</v>
      </c>
      <c r="T18">
        <f t="shared" si="6"/>
        <v>-3.1667637718146087E-4</v>
      </c>
      <c r="U18" s="3"/>
      <c r="V18" t="s">
        <v>133</v>
      </c>
      <c r="W18" t="s">
        <v>16</v>
      </c>
      <c r="X18">
        <v>3.336498478738769E-2</v>
      </c>
      <c r="Y18">
        <v>-1.6259978972319483E-2</v>
      </c>
      <c r="Z18">
        <v>6.9820084663225375E-3</v>
      </c>
      <c r="AA18">
        <f>RESULTADOS_R!$T$15+(RESULTADOS_R!$T$16*'EV1-ER-AR'!X17)+(RESULTADOS_R!$T$17*'EV1-ER-AR'!X16)</f>
        <v>-3.7603295314793646E-3</v>
      </c>
      <c r="AB18">
        <f t="shared" si="2"/>
        <v>3.7125314318867057E-2</v>
      </c>
      <c r="AC18" s="3"/>
      <c r="AD18" t="s">
        <v>133</v>
      </c>
      <c r="AE18" t="s">
        <v>16</v>
      </c>
      <c r="AF18">
        <v>7.4576469221399929E-3</v>
      </c>
      <c r="AG18">
        <f>RESULTADOS_R!$T$18</f>
        <v>4.3639999999999998E-3</v>
      </c>
      <c r="AH18">
        <f t="shared" si="0"/>
        <v>3.0936469221399931E-3</v>
      </c>
      <c r="AI18" s="3"/>
      <c r="AJ18" t="s">
        <v>133</v>
      </c>
      <c r="AK18" t="s">
        <v>16</v>
      </c>
      <c r="AL18">
        <v>-3.7652165775999276E-3</v>
      </c>
      <c r="AM18">
        <v>-1.2005407228018003E-3</v>
      </c>
      <c r="AN18">
        <v>1.4220268959227616E-3</v>
      </c>
      <c r="AO18">
        <v>5.7894296221790258E-3</v>
      </c>
      <c r="AP18">
        <v>-7.8882210734299227E-3</v>
      </c>
      <c r="AQ18">
        <f>RESULTADOS_R!$T$19+(RESULTADOS_R!$T$20*AL17)+(RESULTADOS_R!$T$21*AL16)+(RESULTADOS_R!$T$22*AL15)+(RESULTADOS_R!$T$23*AL14)</f>
        <v>-1.1010683497553373E-3</v>
      </c>
      <c r="AR18">
        <f t="shared" si="5"/>
        <v>-2.6641482278445903E-3</v>
      </c>
      <c r="AS18" s="3"/>
      <c r="AT18" t="s">
        <v>133</v>
      </c>
      <c r="AU18" t="s">
        <v>16</v>
      </c>
      <c r="AV18">
        <v>1.3615869431460998E-3</v>
      </c>
      <c r="AW18">
        <v>1.2036132663990542E-3</v>
      </c>
      <c r="AX18">
        <v>7.4477571420537075E-3</v>
      </c>
      <c r="AY18">
        <f>RESULTADOS_R!$T$24+(RESULTADOS_R!$T$25*AV17)+(RESULTADOS_R!$T$26*AV16)</f>
        <v>2.0717583887707239E-5</v>
      </c>
      <c r="AZ18">
        <f t="shared" si="3"/>
        <v>1.3408693592583925E-3</v>
      </c>
      <c r="BA18" s="3"/>
      <c r="BB18" t="s">
        <v>133</v>
      </c>
      <c r="BC18" t="s">
        <v>16</v>
      </c>
      <c r="BD18">
        <v>4.7274036130400828E-4</v>
      </c>
      <c r="BE18">
        <v>-3.335234941626452E-3</v>
      </c>
      <c r="BF18">
        <f>RESULTADOS_R!$T$27+(RESULTADOS_R!$T$28*BD17)</f>
        <v>-5.7077046248687081E-4</v>
      </c>
      <c r="BG18">
        <f t="shared" si="1"/>
        <v>1.0435108237908791E-3</v>
      </c>
    </row>
    <row r="19" spans="1:59" x14ac:dyDescent="0.25">
      <c r="A19" t="s">
        <v>133</v>
      </c>
      <c r="B19" t="s">
        <v>17</v>
      </c>
      <c r="C19">
        <v>-3.5650661644961459E-3</v>
      </c>
      <c r="D19">
        <v>6.8414557090428424E-3</v>
      </c>
      <c r="E19">
        <v>-3.9103674432899131E-3</v>
      </c>
      <c r="F19">
        <v>2.7389956331194004E-3</v>
      </c>
      <c r="G19">
        <v>-2.004879209332803E-3</v>
      </c>
      <c r="H19">
        <f>RESULTADOS_R!$T$4+(RESULTADOS_R!$T$5*C18)+(RESULTADOS_R!$T$6*C17)+(RESULTADOS_R!$T$7*C16)+(RESULTADOS_R!$T$8*C15)</f>
        <v>9.083734634191239E-4</v>
      </c>
      <c r="I19">
        <f t="shared" si="4"/>
        <v>-4.4734396279152693E-3</v>
      </c>
      <c r="J19" s="3"/>
      <c r="K19" t="s">
        <v>133</v>
      </c>
      <c r="L19" t="s">
        <v>17</v>
      </c>
      <c r="M19">
        <v>3.5375273053283988E-4</v>
      </c>
      <c r="N19">
        <v>-4.7164250373163554E-4</v>
      </c>
      <c r="O19">
        <v>3.5371102178606594E-4</v>
      </c>
      <c r="P19">
        <v>0</v>
      </c>
      <c r="Q19">
        <v>4.7180939775896174E-4</v>
      </c>
      <c r="R19">
        <v>-2.3593252439273968E-4</v>
      </c>
      <c r="S19">
        <f>RESULTADOS_R!$T$9+(RESULTADOS_R!$T$10*M18)+(RESULTADOS_R!$T$11*M17)+(RESULTADOS_R!$T$12*M16)+(RESULTADOS_R!$T$13*M15)+(RESULTADOS_R!$T$14*M14)</f>
        <v>1.035722367951034E-4</v>
      </c>
      <c r="T19">
        <f t="shared" si="6"/>
        <v>2.5018049373773648E-4</v>
      </c>
      <c r="U19" s="3"/>
      <c r="V19" t="s">
        <v>133</v>
      </c>
      <c r="W19" t="s">
        <v>17</v>
      </c>
      <c r="X19">
        <v>-2.0282349867096029E-2</v>
      </c>
      <c r="Y19">
        <v>3.336498478738769E-2</v>
      </c>
      <c r="Z19">
        <v>-1.6259978972319483E-2</v>
      </c>
      <c r="AA19">
        <f>RESULTADOS_R!$T$15+(RESULTADOS_R!$T$16*'EV1-ER-AR'!X18)+(RESULTADOS_R!$T$17*'EV1-ER-AR'!X17)</f>
        <v>1.3152268879053786E-2</v>
      </c>
      <c r="AB19">
        <f t="shared" si="2"/>
        <v>-3.3434618746149815E-2</v>
      </c>
      <c r="AC19" s="3"/>
      <c r="AD19" t="s">
        <v>133</v>
      </c>
      <c r="AE19" t="s">
        <v>17</v>
      </c>
      <c r="AF19">
        <v>-1.5092271812843894E-2</v>
      </c>
      <c r="AG19">
        <f>RESULTADOS_R!$T$18</f>
        <v>4.3639999999999998E-3</v>
      </c>
      <c r="AH19">
        <f t="shared" si="0"/>
        <v>-1.9456271812843894E-2</v>
      </c>
      <c r="AI19" s="3"/>
      <c r="AJ19" t="s">
        <v>133</v>
      </c>
      <c r="AK19" t="s">
        <v>17</v>
      </c>
      <c r="AL19">
        <v>2.388522775220653E-3</v>
      </c>
      <c r="AM19">
        <v>-3.7652165775999276E-3</v>
      </c>
      <c r="AN19">
        <v>-1.2005407228018003E-3</v>
      </c>
      <c r="AO19">
        <v>1.4220268959227616E-3</v>
      </c>
      <c r="AP19">
        <v>5.7894296221790258E-3</v>
      </c>
      <c r="AQ19">
        <f>RESULTADOS_R!$T$19+(RESULTADOS_R!$T$20*AL18)+(RESULTADOS_R!$T$21*AL17)+(RESULTADOS_R!$T$22*AL16)+(RESULTADOS_R!$T$23*AL15)</f>
        <v>6.9841507120661577E-4</v>
      </c>
      <c r="AR19">
        <f t="shared" si="5"/>
        <v>1.6901077040140373E-3</v>
      </c>
      <c r="AS19" s="3"/>
      <c r="AT19" t="s">
        <v>133</v>
      </c>
      <c r="AU19" t="s">
        <v>17</v>
      </c>
      <c r="AV19">
        <v>-2.8506290683402678E-3</v>
      </c>
      <c r="AW19">
        <v>1.3615869431460998E-3</v>
      </c>
      <c r="AX19">
        <v>1.2036132663990542E-3</v>
      </c>
      <c r="AY19">
        <f>RESULTADOS_R!$T$24+(RESULTADOS_R!$T$25*AV18)+(RESULTADOS_R!$T$26*AV17)</f>
        <v>6.3979543115909939E-4</v>
      </c>
      <c r="AZ19">
        <f t="shared" si="3"/>
        <v>-3.490424499499367E-3</v>
      </c>
      <c r="BA19" s="3"/>
      <c r="BB19" t="s">
        <v>133</v>
      </c>
      <c r="BC19" t="s">
        <v>17</v>
      </c>
      <c r="BD19">
        <v>2.032291542882651E-3</v>
      </c>
      <c r="BE19">
        <v>4.7274036130400828E-4</v>
      </c>
      <c r="BF19">
        <f>RESULTADOS_R!$T$27+(RESULTADOS_R!$T$28*BD18)</f>
        <v>1.5585588854088008E-4</v>
      </c>
      <c r="BG19">
        <f t="shared" si="1"/>
        <v>1.876435654341771E-3</v>
      </c>
    </row>
    <row r="20" spans="1:59" x14ac:dyDescent="0.25">
      <c r="A20" t="s">
        <v>133</v>
      </c>
      <c r="B20" t="s">
        <v>18</v>
      </c>
      <c r="C20">
        <v>2.8330991368726273E-3</v>
      </c>
      <c r="D20">
        <v>-3.5650661644961459E-3</v>
      </c>
      <c r="E20">
        <v>6.8414557090428424E-3</v>
      </c>
      <c r="F20">
        <v>-3.9103674432899131E-3</v>
      </c>
      <c r="G20">
        <v>2.7389956331194004E-3</v>
      </c>
      <c r="H20">
        <f>RESULTADOS_R!$T$4+(RESULTADOS_R!$T$5*C19)+(RESULTADOS_R!$T$6*C18)+(RESULTADOS_R!$T$7*C17)+(RESULTADOS_R!$T$8*C16)</f>
        <v>2.90510064981289E-3</v>
      </c>
      <c r="I20">
        <f t="shared" si="4"/>
        <v>-7.200151294026267E-5</v>
      </c>
      <c r="J20" s="3"/>
      <c r="K20" t="s">
        <v>133</v>
      </c>
      <c r="L20" t="s">
        <v>18</v>
      </c>
      <c r="M20">
        <v>-1.1790367283585172E-4</v>
      </c>
      <c r="N20">
        <v>3.5375273053283988E-4</v>
      </c>
      <c r="O20">
        <v>-4.7164250373163554E-4</v>
      </c>
      <c r="P20">
        <v>3.5371102178606594E-4</v>
      </c>
      <c r="Q20">
        <v>0</v>
      </c>
      <c r="R20">
        <v>4.7180939775896174E-4</v>
      </c>
      <c r="S20">
        <f>RESULTADOS_R!$T$9+(RESULTADOS_R!$T$10*M19)+(RESULTADOS_R!$T$11*M18)+(RESULTADOS_R!$T$12*M17)+(RESULTADOS_R!$T$13*M16)+(RESULTADOS_R!$T$14*M15)</f>
        <v>-1.7480736201956008E-4</v>
      </c>
      <c r="T20">
        <f t="shared" si="6"/>
        <v>5.690368918370836E-5</v>
      </c>
      <c r="U20" s="3"/>
      <c r="V20" t="s">
        <v>133</v>
      </c>
      <c r="W20" t="s">
        <v>18</v>
      </c>
      <c r="X20">
        <v>-7.231210875187695E-2</v>
      </c>
      <c r="Y20">
        <v>-2.0282349867096029E-2</v>
      </c>
      <c r="Z20">
        <v>3.336498478738769E-2</v>
      </c>
      <c r="AA20">
        <f>RESULTADOS_R!$T$15+(RESULTADOS_R!$T$16*'EV1-ER-AR'!X19)+(RESULTADOS_R!$T$17*'EV1-ER-AR'!X18)</f>
        <v>-1.0631550552201021E-2</v>
      </c>
      <c r="AB20">
        <f t="shared" si="2"/>
        <v>-6.1680558199675925E-2</v>
      </c>
      <c r="AC20" s="3"/>
      <c r="AD20" t="s">
        <v>133</v>
      </c>
      <c r="AE20" t="s">
        <v>18</v>
      </c>
      <c r="AF20">
        <v>-5.9162507226916052E-2</v>
      </c>
      <c r="AG20">
        <f>RESULTADOS_R!$T$18</f>
        <v>4.3639999999999998E-3</v>
      </c>
      <c r="AH20">
        <f t="shared" si="0"/>
        <v>-6.3526507226916051E-2</v>
      </c>
      <c r="AI20" s="3"/>
      <c r="AJ20" t="s">
        <v>133</v>
      </c>
      <c r="AK20" t="s">
        <v>18</v>
      </c>
      <c r="AL20">
        <v>2.7179856673406506E-3</v>
      </c>
      <c r="AM20">
        <v>2.388522775220653E-3</v>
      </c>
      <c r="AN20">
        <v>-3.7652165775999276E-3</v>
      </c>
      <c r="AO20">
        <v>-1.2005407228018003E-3</v>
      </c>
      <c r="AP20">
        <v>1.4220268959227616E-3</v>
      </c>
      <c r="AQ20">
        <f>RESULTADOS_R!$T$19+(RESULTADOS_R!$T$20*AL19)+(RESULTADOS_R!$T$21*AL18)+(RESULTADOS_R!$T$22*AL17)+(RESULTADOS_R!$T$23*AL16)</f>
        <v>1.1329758508747453E-3</v>
      </c>
      <c r="AR20">
        <f t="shared" si="5"/>
        <v>1.5850098164659054E-3</v>
      </c>
      <c r="AS20" s="3"/>
      <c r="AT20" t="s">
        <v>133</v>
      </c>
      <c r="AU20" t="s">
        <v>18</v>
      </c>
      <c r="AV20">
        <v>2.2811529709454892E-3</v>
      </c>
      <c r="AW20">
        <v>-2.8506290683402678E-3</v>
      </c>
      <c r="AX20">
        <v>1.3615869431460998E-3</v>
      </c>
      <c r="AY20">
        <f>RESULTADOS_R!$T$24+(RESULTADOS_R!$T$25*AV19)+(RESULTADOS_R!$T$26*AV18)</f>
        <v>8.3475571655874199E-4</v>
      </c>
      <c r="AZ20">
        <f t="shared" si="3"/>
        <v>1.4463972543867472E-3</v>
      </c>
      <c r="BA20" s="3"/>
      <c r="BB20" t="s">
        <v>133</v>
      </c>
      <c r="BC20" t="s">
        <v>18</v>
      </c>
      <c r="BD20">
        <v>-3.5894307035574247E-4</v>
      </c>
      <c r="BE20">
        <v>2.032291542882651E-3</v>
      </c>
      <c r="BF20">
        <f>RESULTADOS_R!$T$27+(RESULTADOS_R!$T$28*BD19)</f>
        <v>4.5344473672469948E-4</v>
      </c>
      <c r="BG20">
        <f t="shared" si="1"/>
        <v>-8.1238780708044189E-4</v>
      </c>
    </row>
    <row r="21" spans="1:59" x14ac:dyDescent="0.25">
      <c r="A21" t="s">
        <v>133</v>
      </c>
      <c r="B21" t="s">
        <v>19</v>
      </c>
      <c r="C21">
        <v>1.9285767765225602E-3</v>
      </c>
      <c r="D21">
        <v>2.8330991368726273E-3</v>
      </c>
      <c r="E21">
        <v>-3.5650661644961459E-3</v>
      </c>
      <c r="F21">
        <v>6.8414557090428424E-3</v>
      </c>
      <c r="G21">
        <v>-3.9103674432899131E-3</v>
      </c>
      <c r="H21">
        <f>RESULTADOS_R!$T$4+(RESULTADOS_R!$T$5*C20)+(RESULTADOS_R!$T$6*C19)+(RESULTADOS_R!$T$7*C18)+(RESULTADOS_R!$T$8*C17)</f>
        <v>-1.6186821932700091E-4</v>
      </c>
      <c r="I21">
        <f t="shared" si="4"/>
        <v>2.0904449958495611E-3</v>
      </c>
      <c r="J21" s="3"/>
      <c r="K21" t="s">
        <v>133</v>
      </c>
      <c r="L21" t="s">
        <v>19</v>
      </c>
      <c r="M21">
        <v>0</v>
      </c>
      <c r="N21">
        <v>-1.1790367283585172E-4</v>
      </c>
      <c r="O21">
        <v>3.5375273053283988E-4</v>
      </c>
      <c r="P21">
        <v>-4.7164250373163554E-4</v>
      </c>
      <c r="Q21">
        <v>3.5371102178606594E-4</v>
      </c>
      <c r="R21">
        <v>0</v>
      </c>
      <c r="S21">
        <f>RESULTADOS_R!$T$9+(RESULTADOS_R!$T$10*M20)+(RESULTADOS_R!$T$11*M19)+(RESULTADOS_R!$T$12*M18)+(RESULTADOS_R!$T$13*M17)+(RESULTADOS_R!$T$14*M16)</f>
        <v>1.1282445113541607E-4</v>
      </c>
      <c r="T21">
        <f t="shared" si="6"/>
        <v>-1.1282445113541607E-4</v>
      </c>
      <c r="U21" s="3"/>
      <c r="V21" t="s">
        <v>133</v>
      </c>
      <c r="W21" t="s">
        <v>19</v>
      </c>
      <c r="X21">
        <v>-2.8229035719952457E-3</v>
      </c>
      <c r="Y21">
        <v>-7.231210875187695E-2</v>
      </c>
      <c r="Z21">
        <v>-2.0282349867096029E-2</v>
      </c>
      <c r="AA21">
        <f>RESULTADOS_R!$T$15+(RESULTADOS_R!$T$16*'EV1-ER-AR'!X20)+(RESULTADOS_R!$T$17*'EV1-ER-AR'!X19)</f>
        <v>-1.0848203396429737E-2</v>
      </c>
      <c r="AB21">
        <f t="shared" si="2"/>
        <v>8.0252998244344908E-3</v>
      </c>
      <c r="AC21" s="3"/>
      <c r="AD21" t="s">
        <v>133</v>
      </c>
      <c r="AE21" t="s">
        <v>19</v>
      </c>
      <c r="AF21">
        <v>-1.4434252210059496E-3</v>
      </c>
      <c r="AG21">
        <f>RESULTADOS_R!$T$18</f>
        <v>4.3639999999999998E-3</v>
      </c>
      <c r="AH21">
        <f t="shared" si="0"/>
        <v>-5.8074252210059494E-3</v>
      </c>
      <c r="AI21" s="3"/>
      <c r="AJ21" t="s">
        <v>133</v>
      </c>
      <c r="AK21" t="s">
        <v>19</v>
      </c>
      <c r="AL21">
        <v>7.7109620156346603E-3</v>
      </c>
      <c r="AM21">
        <v>2.7179856673406506E-3</v>
      </c>
      <c r="AN21">
        <v>2.388522775220653E-3</v>
      </c>
      <c r="AO21">
        <v>-3.7652165775999276E-3</v>
      </c>
      <c r="AP21">
        <v>-1.2005407228018003E-3</v>
      </c>
      <c r="AQ21">
        <f>RESULTADOS_R!$T$19+(RESULTADOS_R!$T$20*AL20)+(RESULTADOS_R!$T$21*AL19)+(RESULTADOS_R!$T$22*AL18)+(RESULTADOS_R!$T$23*AL17)</f>
        <v>1.6803333857680319E-3</v>
      </c>
      <c r="AR21">
        <f t="shared" si="5"/>
        <v>6.0306286298666282E-3</v>
      </c>
      <c r="AS21" s="3"/>
      <c r="AT21" t="s">
        <v>133</v>
      </c>
      <c r="AU21" t="s">
        <v>19</v>
      </c>
      <c r="AV21">
        <v>1.2172832546164443E-2</v>
      </c>
      <c r="AW21">
        <v>2.2811529709454892E-3</v>
      </c>
      <c r="AX21">
        <v>-2.8506290683402678E-3</v>
      </c>
      <c r="AY21">
        <f>RESULTADOS_R!$T$24+(RESULTADOS_R!$T$25*AV20)+(RESULTADOS_R!$T$26*AV19)</f>
        <v>1.0008638352168426E-3</v>
      </c>
      <c r="AZ21">
        <f t="shared" si="3"/>
        <v>1.11719687109476E-2</v>
      </c>
      <c r="BA21" s="3"/>
      <c r="BB21" t="s">
        <v>133</v>
      </c>
      <c r="BC21" t="s">
        <v>19</v>
      </c>
      <c r="BD21">
        <v>1.4349998874990855E-3</v>
      </c>
      <c r="BE21">
        <v>-3.5894307035574247E-4</v>
      </c>
      <c r="BF21">
        <f>RESULTADOS_R!$T$27+(RESULTADOS_R!$T$28*BD20)</f>
        <v>-2.8434330361533762E-6</v>
      </c>
      <c r="BG21">
        <f t="shared" si="1"/>
        <v>1.4378433205352388E-3</v>
      </c>
    </row>
    <row r="22" spans="1:59" x14ac:dyDescent="0.25">
      <c r="A22" t="s">
        <v>133</v>
      </c>
      <c r="B22" t="s">
        <v>20</v>
      </c>
      <c r="C22">
        <v>4.0776465855149012E-3</v>
      </c>
      <c r="D22">
        <v>1.9285767765225602E-3</v>
      </c>
      <c r="E22">
        <v>2.8330991368726273E-3</v>
      </c>
      <c r="F22">
        <v>-3.5650661644961459E-3</v>
      </c>
      <c r="G22">
        <v>6.8414557090428424E-3</v>
      </c>
      <c r="H22">
        <f>RESULTADOS_R!$T$4+(RESULTADOS_R!$T$5*C21)+(RESULTADOS_R!$T$6*C20)+(RESULTADOS_R!$T$7*C19)+(RESULTADOS_R!$T$8*C18)</f>
        <v>3.6784640556343307E-3</v>
      </c>
      <c r="I22">
        <f t="shared" si="4"/>
        <v>3.9918252988057051E-4</v>
      </c>
      <c r="J22" s="3"/>
      <c r="K22" t="s">
        <v>133</v>
      </c>
      <c r="L22" t="s">
        <v>20</v>
      </c>
      <c r="M22">
        <v>-5.8972697351033262E-4</v>
      </c>
      <c r="N22">
        <v>0</v>
      </c>
      <c r="O22">
        <v>-1.1790367283585172E-4</v>
      </c>
      <c r="P22">
        <v>3.5375273053283988E-4</v>
      </c>
      <c r="Q22">
        <v>-4.7164250373163554E-4</v>
      </c>
      <c r="R22">
        <v>3.5371102178606594E-4</v>
      </c>
      <c r="S22">
        <f>RESULTADOS_R!$T$9+(RESULTADOS_R!$T$10*M21)+(RESULTADOS_R!$T$11*M20)+(RESULTADOS_R!$T$12*M19)+(RESULTADOS_R!$T$13*M18)+(RESULTADOS_R!$T$14*M17)</f>
        <v>-1.2502848332852234E-4</v>
      </c>
      <c r="T22">
        <f t="shared" si="6"/>
        <v>-4.6469849018181028E-4</v>
      </c>
      <c r="U22" s="3"/>
      <c r="V22" t="s">
        <v>133</v>
      </c>
      <c r="W22" t="s">
        <v>20</v>
      </c>
      <c r="X22">
        <v>0.14476114992526598</v>
      </c>
      <c r="Y22">
        <v>-2.8229035719952457E-3</v>
      </c>
      <c r="Z22">
        <v>-7.231210875187695E-2</v>
      </c>
      <c r="AA22">
        <f>RESULTADOS_R!$T$15+(RESULTADOS_R!$T$16*'EV1-ER-AR'!X21)+(RESULTADOS_R!$T$17*'EV1-ER-AR'!X20)</f>
        <v>1.7208771485144464E-2</v>
      </c>
      <c r="AB22">
        <f t="shared" si="2"/>
        <v>0.12755237844012152</v>
      </c>
      <c r="AC22" s="3"/>
      <c r="AD22" t="s">
        <v>133</v>
      </c>
      <c r="AE22" t="s">
        <v>20</v>
      </c>
      <c r="AF22">
        <v>0.11274737902483802</v>
      </c>
      <c r="AG22">
        <f>RESULTADOS_R!$T$18</f>
        <v>4.3639999999999998E-3</v>
      </c>
      <c r="AH22">
        <f t="shared" si="0"/>
        <v>0.10838337902483802</v>
      </c>
      <c r="AI22" s="3"/>
      <c r="AJ22" t="s">
        <v>133</v>
      </c>
      <c r="AK22" t="s">
        <v>20</v>
      </c>
      <c r="AL22">
        <v>7.179944331475763E-4</v>
      </c>
      <c r="AM22">
        <v>7.7109620156346603E-3</v>
      </c>
      <c r="AN22">
        <v>2.7179856673406506E-3</v>
      </c>
      <c r="AO22">
        <v>2.388522775220653E-3</v>
      </c>
      <c r="AP22">
        <v>-3.7652165775999276E-3</v>
      </c>
      <c r="AQ22">
        <f>RESULTADOS_R!$T$19+(RESULTADOS_R!$T$20*AL21)+(RESULTADOS_R!$T$21*AL20)+(RESULTADOS_R!$T$22*AL19)+(RESULTADOS_R!$T$23*AL18)</f>
        <v>6.6029684228594834E-4</v>
      </c>
      <c r="AR22">
        <f t="shared" si="5"/>
        <v>5.7697590861627963E-5</v>
      </c>
      <c r="AS22" s="3"/>
      <c r="AT22" t="s">
        <v>133</v>
      </c>
      <c r="AU22" t="s">
        <v>20</v>
      </c>
      <c r="AV22">
        <v>1.397061001363189E-2</v>
      </c>
      <c r="AW22">
        <v>1.2172832546164443E-2</v>
      </c>
      <c r="AX22">
        <v>2.2811529709454892E-3</v>
      </c>
      <c r="AY22">
        <f>RESULTADOS_R!$T$24+(RESULTADOS_R!$T$25*AV21)+(RESULTADOS_R!$T$26*AV20)</f>
        <v>-9.5081404426842879E-6</v>
      </c>
      <c r="AZ22">
        <f t="shared" si="3"/>
        <v>1.3980118154074574E-2</v>
      </c>
      <c r="BA22" s="3"/>
      <c r="BB22" t="s">
        <v>133</v>
      </c>
      <c r="BC22" t="s">
        <v>20</v>
      </c>
      <c r="BD22">
        <v>2.0464342920692843E-3</v>
      </c>
      <c r="BE22">
        <v>1.4349998874990855E-3</v>
      </c>
      <c r="BF22">
        <f>RESULTADOS_R!$T$27+(RESULTADOS_R!$T$28*BD21)</f>
        <v>3.394713462679151E-4</v>
      </c>
      <c r="BG22">
        <f t="shared" si="1"/>
        <v>1.7069629458013693E-3</v>
      </c>
    </row>
    <row r="23" spans="1:59" x14ac:dyDescent="0.25">
      <c r="A23" t="s">
        <v>133</v>
      </c>
      <c r="B23" t="s">
        <v>21</v>
      </c>
      <c r="C23">
        <v>5.5427393634845451E-3</v>
      </c>
      <c r="D23">
        <v>4.0776465855149012E-3</v>
      </c>
      <c r="E23">
        <v>1.9285767765225602E-3</v>
      </c>
      <c r="F23">
        <v>2.8330991368726273E-3</v>
      </c>
      <c r="G23">
        <v>-3.5650661644961459E-3</v>
      </c>
      <c r="H23">
        <f>RESULTADOS_R!$T$4+(RESULTADOS_R!$T$5*C22)+(RESULTADOS_R!$T$6*C21)+(RESULTADOS_R!$T$7*C20)+(RESULTADOS_R!$T$8*C19)</f>
        <v>-8.3245027708619057E-5</v>
      </c>
      <c r="I23">
        <f t="shared" si="4"/>
        <v>5.6259843911931643E-3</v>
      </c>
      <c r="J23" s="3"/>
      <c r="K23" t="s">
        <v>133</v>
      </c>
      <c r="L23" t="s">
        <v>21</v>
      </c>
      <c r="M23">
        <v>-3.5400318972562825E-4</v>
      </c>
      <c r="N23">
        <v>-5.8972697351033262E-4</v>
      </c>
      <c r="O23">
        <v>0</v>
      </c>
      <c r="P23">
        <v>-1.1790367283585172E-4</v>
      </c>
      <c r="Q23">
        <v>3.5375273053283988E-4</v>
      </c>
      <c r="R23">
        <v>-4.7164250373163554E-4</v>
      </c>
      <c r="S23">
        <f>RESULTADOS_R!$T$9+(RESULTADOS_R!$T$10*M22)+(RESULTADOS_R!$T$11*M21)+(RESULTADOS_R!$T$12*M20)+(RESULTADOS_R!$T$13*M19)+(RESULTADOS_R!$T$14*M18)</f>
        <v>1.4644944193613698E-4</v>
      </c>
      <c r="T23">
        <f t="shared" si="6"/>
        <v>-5.0045263166176518E-4</v>
      </c>
      <c r="U23" s="3"/>
      <c r="V23" t="s">
        <v>133</v>
      </c>
      <c r="W23" t="s">
        <v>21</v>
      </c>
      <c r="X23">
        <v>6.6492397129630718E-2</v>
      </c>
      <c r="Y23">
        <v>0.14476114992526598</v>
      </c>
      <c r="Z23">
        <v>-2.8229035719952457E-3</v>
      </c>
      <c r="AA23">
        <f>RESULTADOS_R!$T$15+(RESULTADOS_R!$T$16*'EV1-ER-AR'!X22)+(RESULTADOS_R!$T$17*'EV1-ER-AR'!X21)</f>
        <v>3.6386756857597777E-2</v>
      </c>
      <c r="AB23">
        <f t="shared" si="2"/>
        <v>3.0105640272032941E-2</v>
      </c>
      <c r="AC23" s="3"/>
      <c r="AD23" t="s">
        <v>133</v>
      </c>
      <c r="AE23" t="s">
        <v>21</v>
      </c>
      <c r="AF23">
        <v>6.2583789176156382E-3</v>
      </c>
      <c r="AG23">
        <f>RESULTADOS_R!$T$18</f>
        <v>4.3639999999999998E-3</v>
      </c>
      <c r="AH23">
        <f t="shared" si="0"/>
        <v>1.8943789176156384E-3</v>
      </c>
      <c r="AI23" s="3"/>
      <c r="AJ23" t="s">
        <v>133</v>
      </c>
      <c r="AK23" t="s">
        <v>21</v>
      </c>
      <c r="AL23">
        <v>-8.0336187481838683E-3</v>
      </c>
      <c r="AM23">
        <v>7.179944331475763E-4</v>
      </c>
      <c r="AN23">
        <v>7.7109620156346603E-3</v>
      </c>
      <c r="AO23">
        <v>2.7179856673406506E-3</v>
      </c>
      <c r="AP23">
        <v>2.388522775220653E-3</v>
      </c>
      <c r="AQ23">
        <f>RESULTADOS_R!$T$19+(RESULTADOS_R!$T$20*AL22)+(RESULTADOS_R!$T$21*AL21)+(RESULTADOS_R!$T$22*AL20)+(RESULTADOS_R!$T$23*AL19)</f>
        <v>8.7679157528427446E-4</v>
      </c>
      <c r="AR23">
        <f t="shared" si="5"/>
        <v>-8.9104103234681434E-3</v>
      </c>
      <c r="AS23" s="3"/>
      <c r="AT23" t="s">
        <v>133</v>
      </c>
      <c r="AU23" t="s">
        <v>21</v>
      </c>
      <c r="AV23">
        <v>-9.1986711337800828E-3</v>
      </c>
      <c r="AW23">
        <v>1.397061001363189E-2</v>
      </c>
      <c r="AX23">
        <v>1.2172832546164443E-2</v>
      </c>
      <c r="AY23">
        <f>RESULTADOS_R!$T$24+(RESULTADOS_R!$T$25*AV22)+(RESULTADOS_R!$T$26*AV21)</f>
        <v>-1.092726814857726E-3</v>
      </c>
      <c r="AZ23">
        <f t="shared" si="3"/>
        <v>-8.1059443189223576E-3</v>
      </c>
      <c r="BA23" s="3"/>
      <c r="BB23" t="s">
        <v>133</v>
      </c>
      <c r="BC23" t="s">
        <v>21</v>
      </c>
      <c r="BD23">
        <v>-6.8508911393980654E-4</v>
      </c>
      <c r="BE23">
        <v>2.0464342920692843E-3</v>
      </c>
      <c r="BF23">
        <f>RESULTADOS_R!$T$27+(RESULTADOS_R!$T$28*BD22)</f>
        <v>4.5614341342753304E-4</v>
      </c>
      <c r="BG23">
        <f t="shared" si="1"/>
        <v>-1.1412325273673395E-3</v>
      </c>
    </row>
    <row r="24" spans="1:59" x14ac:dyDescent="0.25">
      <c r="A24" t="s">
        <v>133</v>
      </c>
      <c r="B24" t="s">
        <v>22</v>
      </c>
      <c r="C24">
        <v>-8.2286922668902264E-4</v>
      </c>
      <c r="D24">
        <v>5.5427393634845451E-3</v>
      </c>
      <c r="E24">
        <v>4.0776465855149012E-3</v>
      </c>
      <c r="F24">
        <v>1.9285767765225602E-3</v>
      </c>
      <c r="G24">
        <v>2.8330991368726273E-3</v>
      </c>
      <c r="H24">
        <f>RESULTADOS_R!$T$4+(RESULTADOS_R!$T$5*C23)+(RESULTADOS_R!$T$6*C22)+(RESULTADOS_R!$T$7*C21)+(RESULTADOS_R!$T$8*C20)</f>
        <v>8.7620520048375505E-4</v>
      </c>
      <c r="I24">
        <f t="shared" si="4"/>
        <v>-1.6990744271727777E-3</v>
      </c>
      <c r="J24" s="3"/>
      <c r="K24" t="s">
        <v>133</v>
      </c>
      <c r="L24" t="s">
        <v>22</v>
      </c>
      <c r="M24">
        <v>2.3601605018694691E-4</v>
      </c>
      <c r="N24">
        <v>-3.5400318972562825E-4</v>
      </c>
      <c r="O24">
        <v>-5.8972697351033262E-4</v>
      </c>
      <c r="P24">
        <v>0</v>
      </c>
      <c r="Q24">
        <v>-1.1790367283585172E-4</v>
      </c>
      <c r="R24">
        <v>3.5375273053283988E-4</v>
      </c>
      <c r="S24">
        <f>RESULTADOS_R!$T$9+(RESULTADOS_R!$T$10*M23)+(RESULTADOS_R!$T$11*M22)+(RESULTADOS_R!$T$12*M21)+(RESULTADOS_R!$T$13*M20)+(RESULTADOS_R!$T$14*M19)</f>
        <v>-2.0270782822590571E-5</v>
      </c>
      <c r="T24">
        <f t="shared" si="6"/>
        <v>2.5628683300953748E-4</v>
      </c>
      <c r="U24" s="3"/>
      <c r="V24" t="s">
        <v>133</v>
      </c>
      <c r="W24" t="s">
        <v>22</v>
      </c>
      <c r="X24">
        <v>1.8362826077177371E-2</v>
      </c>
      <c r="Y24">
        <v>6.6492397129630718E-2</v>
      </c>
      <c r="Z24">
        <v>0.14476114992526598</v>
      </c>
      <c r="AA24">
        <f>RESULTADOS_R!$T$15+(RESULTADOS_R!$T$16*'EV1-ER-AR'!X23)+(RESULTADOS_R!$T$17*'EV1-ER-AR'!X22)</f>
        <v>-1.5192361222793854E-2</v>
      </c>
      <c r="AB24">
        <f t="shared" si="2"/>
        <v>3.3555187299971229E-2</v>
      </c>
      <c r="AC24" s="3"/>
      <c r="AD24" t="s">
        <v>133</v>
      </c>
      <c r="AE24" t="s">
        <v>22</v>
      </c>
      <c r="AF24">
        <v>4.1183586201549376E-2</v>
      </c>
      <c r="AG24">
        <f>RESULTADOS_R!$T$18</f>
        <v>4.3639999999999998E-3</v>
      </c>
      <c r="AH24">
        <f t="shared" si="0"/>
        <v>3.6819586201549376E-2</v>
      </c>
      <c r="AI24" s="3"/>
      <c r="AJ24" t="s">
        <v>133</v>
      </c>
      <c r="AK24" t="s">
        <v>22</v>
      </c>
      <c r="AL24">
        <v>-3.4157782960593653E-3</v>
      </c>
      <c r="AM24">
        <v>-8.0336187481838683E-3</v>
      </c>
      <c r="AN24">
        <v>7.179944331475763E-4</v>
      </c>
      <c r="AO24">
        <v>7.7109620156346603E-3</v>
      </c>
      <c r="AP24">
        <v>2.7179856673406506E-3</v>
      </c>
      <c r="AQ24">
        <f>RESULTADOS_R!$T$19+(RESULTADOS_R!$T$20*AL23)+(RESULTADOS_R!$T$21*AL22)+(RESULTADOS_R!$T$22*AL21)+(RESULTADOS_R!$T$23*AL20)</f>
        <v>-1.017983188135604E-3</v>
      </c>
      <c r="AR24">
        <f t="shared" si="5"/>
        <v>-2.3977951079237614E-3</v>
      </c>
      <c r="AS24" s="3"/>
      <c r="AT24" t="s">
        <v>133</v>
      </c>
      <c r="AU24" t="s">
        <v>22</v>
      </c>
      <c r="AV24">
        <v>-3.2255830505205012E-3</v>
      </c>
      <c r="AW24">
        <v>-9.1986711337800828E-3</v>
      </c>
      <c r="AX24">
        <v>1.397061001363189E-2</v>
      </c>
      <c r="AY24">
        <f>RESULTADOS_R!$T$24+(RESULTADOS_R!$T$25*AV23)+(RESULTADOS_R!$T$26*AV22)</f>
        <v>-1.136150545977667E-4</v>
      </c>
      <c r="AZ24">
        <f t="shared" si="3"/>
        <v>-3.1119679959227342E-3</v>
      </c>
      <c r="BA24" s="3"/>
      <c r="BB24" t="s">
        <v>133</v>
      </c>
      <c r="BC24" t="s">
        <v>22</v>
      </c>
      <c r="BD24">
        <v>-7.5721145165381411E-4</v>
      </c>
      <c r="BE24">
        <v>-6.8508911393980654E-4</v>
      </c>
      <c r="BF24">
        <f>RESULTADOS_R!$T$27+(RESULTADOS_R!$T$28*BD23)</f>
        <v>-6.5077636437958907E-5</v>
      </c>
      <c r="BG24">
        <f t="shared" si="1"/>
        <v>-6.9213381521585516E-4</v>
      </c>
    </row>
    <row r="25" spans="1:59" x14ac:dyDescent="0.25">
      <c r="A25" t="s">
        <v>133</v>
      </c>
      <c r="B25" t="s">
        <v>23</v>
      </c>
      <c r="C25">
        <v>3.254601225817483E-3</v>
      </c>
      <c r="D25">
        <v>-8.2286922668902264E-4</v>
      </c>
      <c r="E25">
        <v>5.5427393634845451E-3</v>
      </c>
      <c r="F25">
        <v>4.0776465855149012E-3</v>
      </c>
      <c r="G25">
        <v>1.9285767765225602E-3</v>
      </c>
      <c r="H25">
        <f>RESULTADOS_R!$T$4+(RESULTADOS_R!$T$5*C24)+(RESULTADOS_R!$T$6*C23)+(RESULTADOS_R!$T$7*C22)+(RESULTADOS_R!$T$8*C21)</f>
        <v>5.7785839483465466E-4</v>
      </c>
      <c r="I25">
        <f t="shared" si="4"/>
        <v>2.6767428309828283E-3</v>
      </c>
      <c r="J25" s="3"/>
      <c r="K25" t="s">
        <v>133</v>
      </c>
      <c r="L25" t="s">
        <v>23</v>
      </c>
      <c r="M25">
        <v>5.8979653729773274E-4</v>
      </c>
      <c r="N25">
        <v>2.3601605018694691E-4</v>
      </c>
      <c r="O25">
        <v>-3.5400318972562825E-4</v>
      </c>
      <c r="P25">
        <v>-5.8972697351033262E-4</v>
      </c>
      <c r="Q25">
        <v>0</v>
      </c>
      <c r="R25">
        <v>-1.1790367283585172E-4</v>
      </c>
      <c r="S25">
        <f>RESULTADOS_R!$T$9+(RESULTADOS_R!$T$10*M24)+(RESULTADOS_R!$T$11*M23)+(RESULTADOS_R!$T$12*M22)+(RESULTADOS_R!$T$13*M21)+(RESULTADOS_R!$T$14*M20)</f>
        <v>6.4397512164329041E-5</v>
      </c>
      <c r="T25">
        <f t="shared" si="6"/>
        <v>5.2539902513340367E-4</v>
      </c>
      <c r="U25" s="3"/>
      <c r="V25" t="s">
        <v>133</v>
      </c>
      <c r="W25" t="s">
        <v>23</v>
      </c>
      <c r="X25">
        <v>-2.3825104986553037E-2</v>
      </c>
      <c r="Y25">
        <v>1.8362826077177371E-2</v>
      </c>
      <c r="Z25">
        <v>6.6492397129630718E-2</v>
      </c>
      <c r="AA25">
        <f>RESULTADOS_R!$T$15+(RESULTADOS_R!$T$16*'EV1-ER-AR'!X24)+(RESULTADOS_R!$T$17*'EV1-ER-AR'!X23)</f>
        <v>-8.9620790518953938E-3</v>
      </c>
      <c r="AB25">
        <f t="shared" si="2"/>
        <v>-1.4863025934657643E-2</v>
      </c>
      <c r="AC25" s="3"/>
      <c r="AD25" t="s">
        <v>133</v>
      </c>
      <c r="AE25" t="s">
        <v>23</v>
      </c>
      <c r="AF25">
        <v>-3.0135049662048535E-2</v>
      </c>
      <c r="AG25">
        <f>RESULTADOS_R!$T$18</f>
        <v>4.3639999999999998E-3</v>
      </c>
      <c r="AH25">
        <f t="shared" si="0"/>
        <v>-3.4499049662048531E-2</v>
      </c>
      <c r="AI25" s="3"/>
      <c r="AJ25" t="s">
        <v>133</v>
      </c>
      <c r="AK25" t="s">
        <v>23</v>
      </c>
      <c r="AL25">
        <v>5.2296465149002849E-3</v>
      </c>
      <c r="AM25">
        <v>-3.4157782960593653E-3</v>
      </c>
      <c r="AN25">
        <v>-8.0336187481838683E-3</v>
      </c>
      <c r="AO25">
        <v>7.179944331475763E-4</v>
      </c>
      <c r="AP25">
        <v>7.7109620156346603E-3</v>
      </c>
      <c r="AQ25">
        <f>RESULTADOS_R!$T$19+(RESULTADOS_R!$T$20*AL24)+(RESULTADOS_R!$T$21*AL23)+(RESULTADOS_R!$T$22*AL22)+(RESULTADOS_R!$T$23*AL21)</f>
        <v>7.2675196662727907E-4</v>
      </c>
      <c r="AR25">
        <f t="shared" si="5"/>
        <v>4.5028945482730055E-3</v>
      </c>
      <c r="AS25" s="3"/>
      <c r="AT25" t="s">
        <v>133</v>
      </c>
      <c r="AU25" t="s">
        <v>23</v>
      </c>
      <c r="AV25">
        <v>3.5055774524617943E-3</v>
      </c>
      <c r="AW25">
        <v>-3.2255830505205012E-3</v>
      </c>
      <c r="AX25">
        <v>-9.1986711337800828E-3</v>
      </c>
      <c r="AY25">
        <f>RESULTADOS_R!$T$24+(RESULTADOS_R!$T$25*AV24)+(RESULTADOS_R!$T$26*AV23)</f>
        <v>1.9138946857701383E-3</v>
      </c>
      <c r="AZ25">
        <f t="shared" si="3"/>
        <v>1.591682766691656E-3</v>
      </c>
      <c r="BA25" s="3"/>
      <c r="BB25" t="s">
        <v>133</v>
      </c>
      <c r="BC25" t="s">
        <v>23</v>
      </c>
      <c r="BD25">
        <v>-4.5050580276210936E-4</v>
      </c>
      <c r="BE25">
        <v>-7.5721145165381411E-4</v>
      </c>
      <c r="BF25">
        <f>RESULTADOS_R!$T$27+(RESULTADOS_R!$T$28*BD24)</f>
        <v>-7.8839803183208278E-5</v>
      </c>
      <c r="BG25">
        <f t="shared" si="1"/>
        <v>-3.7166599957890107E-4</v>
      </c>
    </row>
    <row r="26" spans="1:59" x14ac:dyDescent="0.25">
      <c r="A26" t="s">
        <v>133</v>
      </c>
      <c r="B26" t="s">
        <v>24</v>
      </c>
      <c r="C26">
        <v>-3.0241295810405442E-3</v>
      </c>
      <c r="D26">
        <v>3.254601225817483E-3</v>
      </c>
      <c r="E26">
        <v>-8.2286922668902264E-4</v>
      </c>
      <c r="F26">
        <v>5.5427393634845451E-3</v>
      </c>
      <c r="G26">
        <v>4.0776465855149012E-3</v>
      </c>
      <c r="H26">
        <f>RESULTADOS_R!$T$4+(RESULTADOS_R!$T$5*C25)+(RESULTADOS_R!$T$6*C24)+(RESULTADOS_R!$T$7*C23)+(RESULTADOS_R!$T$8*C22)</f>
        <v>1.2210126899882925E-3</v>
      </c>
      <c r="I26">
        <f t="shared" si="4"/>
        <v>-4.2451422710288369E-3</v>
      </c>
      <c r="J26" s="3"/>
      <c r="K26" t="s">
        <v>133</v>
      </c>
      <c r="L26" t="s">
        <v>24</v>
      </c>
      <c r="M26">
        <v>1.7673053200838013E-3</v>
      </c>
      <c r="N26">
        <v>5.8979653729773274E-4</v>
      </c>
      <c r="O26">
        <v>2.3601605018694691E-4</v>
      </c>
      <c r="P26">
        <v>-3.5400318972562825E-4</v>
      </c>
      <c r="Q26">
        <v>-5.8972697351033262E-4</v>
      </c>
      <c r="R26">
        <v>0</v>
      </c>
      <c r="S26">
        <f>RESULTADOS_R!$T$9+(RESULTADOS_R!$T$10*M25)+(RESULTADOS_R!$T$11*M24)+(RESULTADOS_R!$T$12*M23)+(RESULTADOS_R!$T$13*M22)+(RESULTADOS_R!$T$14*M21)</f>
        <v>-3.6553481639730188E-5</v>
      </c>
      <c r="T26">
        <f t="shared" si="6"/>
        <v>1.8038588017235315E-3</v>
      </c>
      <c r="U26" s="3"/>
      <c r="V26" t="s">
        <v>133</v>
      </c>
      <c r="W26" t="s">
        <v>24</v>
      </c>
      <c r="X26">
        <v>-6.6738632748355694E-4</v>
      </c>
      <c r="Y26">
        <v>-2.3825104986553037E-2</v>
      </c>
      <c r="Z26">
        <v>1.8362826077177371E-2</v>
      </c>
      <c r="AA26">
        <f>RESULTADOS_R!$T$15+(RESULTADOS_R!$T$16*'EV1-ER-AR'!X25)+(RESULTADOS_R!$T$17*'EV1-ER-AR'!X24)</f>
        <v>-8.0982459368814513E-3</v>
      </c>
      <c r="AB26">
        <f t="shared" si="2"/>
        <v>7.4308596093978947E-3</v>
      </c>
      <c r="AC26" s="3"/>
      <c r="AD26" t="s">
        <v>133</v>
      </c>
      <c r="AE26" t="s">
        <v>24</v>
      </c>
      <c r="AF26">
        <v>-3.9345170213578818E-3</v>
      </c>
      <c r="AG26">
        <f>RESULTADOS_R!$T$18</f>
        <v>4.3639999999999998E-3</v>
      </c>
      <c r="AH26">
        <f t="shared" si="0"/>
        <v>-8.2985170213578825E-3</v>
      </c>
      <c r="AI26" s="3"/>
      <c r="AJ26" t="s">
        <v>133</v>
      </c>
      <c r="AK26" t="s">
        <v>24</v>
      </c>
      <c r="AL26">
        <v>1.193861479159263E-2</v>
      </c>
      <c r="AM26">
        <v>5.2296465149002849E-3</v>
      </c>
      <c r="AN26">
        <v>-3.4157782960593653E-3</v>
      </c>
      <c r="AO26">
        <v>-8.0336187481838683E-3</v>
      </c>
      <c r="AP26">
        <v>7.179944331475763E-4</v>
      </c>
      <c r="AQ26">
        <f>RESULTADOS_R!$T$19+(RESULTADOS_R!$T$20*AL25)+(RESULTADOS_R!$T$21*AL24)+(RESULTADOS_R!$T$22*AL23)+(RESULTADOS_R!$T$23*AL22)</f>
        <v>2.5953374136669818E-3</v>
      </c>
      <c r="AR26">
        <f t="shared" si="5"/>
        <v>9.3432773779256479E-3</v>
      </c>
      <c r="AS26" s="3"/>
      <c r="AT26" t="s">
        <v>133</v>
      </c>
      <c r="AU26" t="s">
        <v>24</v>
      </c>
      <c r="AV26">
        <v>1.4728625292385543E-2</v>
      </c>
      <c r="AW26">
        <v>3.5055774524617943E-3</v>
      </c>
      <c r="AX26">
        <v>-3.2255830505205012E-3</v>
      </c>
      <c r="AY26">
        <f>RESULTADOS_R!$T$24+(RESULTADOS_R!$T$25*AV25)+(RESULTADOS_R!$T$26*AV24)</f>
        <v>9.7723075186669579E-4</v>
      </c>
      <c r="AZ26">
        <f t="shared" si="3"/>
        <v>1.3751394540518847E-2</v>
      </c>
      <c r="BA26" s="3"/>
      <c r="BB26" t="s">
        <v>133</v>
      </c>
      <c r="BC26" t="s">
        <v>24</v>
      </c>
      <c r="BD26">
        <v>-3.015417827590064E-3</v>
      </c>
      <c r="BE26">
        <v>-4.5050580276210936E-4</v>
      </c>
      <c r="BF26">
        <f>RESULTADOS_R!$T$27+(RESULTADOS_R!$T$28*BD25)</f>
        <v>-2.0315157206047169E-5</v>
      </c>
      <c r="BG26">
        <f t="shared" si="1"/>
        <v>-2.9951026703840169E-3</v>
      </c>
    </row>
    <row r="27" spans="1:59" x14ac:dyDescent="0.25">
      <c r="A27" t="s">
        <v>133</v>
      </c>
      <c r="B27" t="s">
        <v>25</v>
      </c>
      <c r="C27">
        <v>9.5995495134855516E-3</v>
      </c>
      <c r="D27">
        <v>-3.0241295810405442E-3</v>
      </c>
      <c r="E27">
        <v>3.254601225817483E-3</v>
      </c>
      <c r="F27">
        <v>-8.2286922668902264E-4</v>
      </c>
      <c r="G27">
        <v>5.5427393634845451E-3</v>
      </c>
      <c r="H27">
        <f>RESULTADOS_R!$T$4+(RESULTADOS_R!$T$5*C26)+(RESULTADOS_R!$T$6*C25)+(RESULTADOS_R!$T$7*C24)+(RESULTADOS_R!$T$8*C23)</f>
        <v>3.1697334186781413E-3</v>
      </c>
      <c r="I27">
        <f t="shared" si="4"/>
        <v>6.4298160948074098E-3</v>
      </c>
      <c r="J27" s="3"/>
      <c r="K27" t="s">
        <v>133</v>
      </c>
      <c r="L27" t="s">
        <v>25</v>
      </c>
      <c r="M27">
        <v>-2.2391147178426477E-3</v>
      </c>
      <c r="N27">
        <v>1.7673053200838013E-3</v>
      </c>
      <c r="O27">
        <v>5.8979653729773274E-4</v>
      </c>
      <c r="P27">
        <v>2.3601605018694691E-4</v>
      </c>
      <c r="Q27">
        <v>-3.5400318972562825E-4</v>
      </c>
      <c r="R27">
        <v>-5.8972697351033262E-4</v>
      </c>
      <c r="S27">
        <f>RESULTADOS_R!$T$9+(RESULTADOS_R!$T$10*M26)+(RESULTADOS_R!$T$11*M25)+(RESULTADOS_R!$T$12*M24)+(RESULTADOS_R!$T$13*M23)+(RESULTADOS_R!$T$14*M22)</f>
        <v>-2.1107674599823336E-4</v>
      </c>
      <c r="T27">
        <f t="shared" si="6"/>
        <v>-2.0280379718444143E-3</v>
      </c>
      <c r="U27" s="3"/>
      <c r="V27" t="s">
        <v>133</v>
      </c>
      <c r="W27" t="s">
        <v>25</v>
      </c>
      <c r="X27">
        <v>6.6649458670604983E-3</v>
      </c>
      <c r="Y27">
        <v>-6.6738632748355694E-4</v>
      </c>
      <c r="Z27">
        <v>-2.3825104986553037E-2</v>
      </c>
      <c r="AA27">
        <f>RESULTADOS_R!$T$15+(RESULTADOS_R!$T$16*'EV1-ER-AR'!X26)+(RESULTADOS_R!$T$17*'EV1-ER-AR'!X25)</f>
        <v>6.8307715360701885E-3</v>
      </c>
      <c r="AB27">
        <f t="shared" si="2"/>
        <v>-1.6582566900969018E-4</v>
      </c>
      <c r="AC27" s="3"/>
      <c r="AD27" t="s">
        <v>133</v>
      </c>
      <c r="AE27" t="s">
        <v>25</v>
      </c>
      <c r="AF27">
        <v>1.6224736625398848E-5</v>
      </c>
      <c r="AG27">
        <f>RESULTADOS_R!$T$18</f>
        <v>4.3639999999999998E-3</v>
      </c>
      <c r="AH27">
        <f t="shared" si="0"/>
        <v>-4.3477752633746007E-3</v>
      </c>
      <c r="AI27" s="3"/>
      <c r="AJ27" t="s">
        <v>133</v>
      </c>
      <c r="AK27" t="s">
        <v>25</v>
      </c>
      <c r="AL27">
        <v>3.8978499557035967E-4</v>
      </c>
      <c r="AM27">
        <v>1.193861479159263E-2</v>
      </c>
      <c r="AN27">
        <v>5.2296465149002849E-3</v>
      </c>
      <c r="AO27">
        <v>-3.4157782960593653E-3</v>
      </c>
      <c r="AP27">
        <v>-8.0336187481838683E-3</v>
      </c>
      <c r="AQ27">
        <f>RESULTADOS_R!$T$19+(RESULTADOS_R!$T$20*AL26)+(RESULTADOS_R!$T$21*AL25)+(RESULTADOS_R!$T$22*AL24)+(RESULTADOS_R!$T$23*AL23)</f>
        <v>1.7959296493295458E-3</v>
      </c>
      <c r="AR27">
        <f t="shared" si="5"/>
        <v>-1.4061446537591861E-3</v>
      </c>
      <c r="AS27" s="3"/>
      <c r="AT27" t="s">
        <v>133</v>
      </c>
      <c r="AU27" t="s">
        <v>25</v>
      </c>
      <c r="AV27">
        <v>-2.2093353366771907E-3</v>
      </c>
      <c r="AW27">
        <v>1.4728625292385543E-2</v>
      </c>
      <c r="AX27">
        <v>3.5055774524617943E-3</v>
      </c>
      <c r="AY27">
        <f>RESULTADOS_R!$T$24+(RESULTADOS_R!$T$25*AV26)+(RESULTADOS_R!$T$26*AV25)</f>
        <v>-2.603727553970969E-4</v>
      </c>
      <c r="AZ27">
        <f t="shared" si="3"/>
        <v>-1.9489625812800938E-3</v>
      </c>
      <c r="BA27" s="3"/>
      <c r="BB27" t="s">
        <v>133</v>
      </c>
      <c r="BC27" t="s">
        <v>25</v>
      </c>
      <c r="BD27">
        <v>-1.1614104732685718E-3</v>
      </c>
      <c r="BE27">
        <v>-3.015417827590064E-3</v>
      </c>
      <c r="BF27">
        <f>RESULTADOS_R!$T$27+(RESULTADOS_R!$T$28*BD26)</f>
        <v>-5.0974392631431453E-4</v>
      </c>
      <c r="BG27">
        <f t="shared" si="1"/>
        <v>-6.5166654695425724E-4</v>
      </c>
    </row>
    <row r="28" spans="1:59" x14ac:dyDescent="0.25">
      <c r="A28" t="s">
        <v>133</v>
      </c>
      <c r="B28" t="s">
        <v>26</v>
      </c>
      <c r="C28">
        <v>3.7102171051951044E-3</v>
      </c>
      <c r="D28">
        <v>9.5995495134855516E-3</v>
      </c>
      <c r="E28">
        <v>-3.0241295810405442E-3</v>
      </c>
      <c r="F28">
        <v>3.254601225817483E-3</v>
      </c>
      <c r="G28">
        <v>-8.2286922668902264E-4</v>
      </c>
      <c r="H28">
        <f>RESULTADOS_R!$T$4+(RESULTADOS_R!$T$5*C27)+(RESULTADOS_R!$T$6*C26)+(RESULTADOS_R!$T$7*C25)+(RESULTADOS_R!$T$8*C24)</f>
        <v>5.6052280515190818E-4</v>
      </c>
      <c r="I28">
        <f t="shared" si="4"/>
        <v>3.1496943000431962E-3</v>
      </c>
      <c r="J28" s="3"/>
      <c r="K28" t="s">
        <v>133</v>
      </c>
      <c r="L28" t="s">
        <v>26</v>
      </c>
      <c r="M28">
        <v>-7.0813174208967603E-4</v>
      </c>
      <c r="N28">
        <v>-2.2391147178426477E-3</v>
      </c>
      <c r="O28">
        <v>1.7673053200838013E-3</v>
      </c>
      <c r="P28">
        <v>5.8979653729773274E-4</v>
      </c>
      <c r="Q28">
        <v>2.3601605018694691E-4</v>
      </c>
      <c r="R28">
        <v>-3.5400318972562825E-4</v>
      </c>
      <c r="S28">
        <f>RESULTADOS_R!$T$9+(RESULTADOS_R!$T$10*M27)+(RESULTADOS_R!$T$11*M26)+(RESULTADOS_R!$T$12*M25)+(RESULTADOS_R!$T$13*M24)+(RESULTADOS_R!$T$14*M23)</f>
        <v>2.7291493192442285E-4</v>
      </c>
      <c r="T28">
        <f t="shared" si="6"/>
        <v>-9.8104667401409883E-4</v>
      </c>
      <c r="U28" s="3"/>
      <c r="V28" t="s">
        <v>133</v>
      </c>
      <c r="W28" t="s">
        <v>26</v>
      </c>
      <c r="X28">
        <v>1.622717640467701E-2</v>
      </c>
      <c r="Y28">
        <v>6.6649458670604983E-3</v>
      </c>
      <c r="Z28">
        <v>-6.6738632748355694E-4</v>
      </c>
      <c r="AA28">
        <f>RESULTADOS_R!$T$15+(RESULTADOS_R!$T$16*'EV1-ER-AR'!X27)+(RESULTADOS_R!$T$17*'EV1-ER-AR'!X26)</f>
        <v>3.3594780547361912E-3</v>
      </c>
      <c r="AB28">
        <f t="shared" si="2"/>
        <v>1.286769834994082E-2</v>
      </c>
      <c r="AC28" s="3"/>
      <c r="AD28" t="s">
        <v>133</v>
      </c>
      <c r="AE28" t="s">
        <v>26</v>
      </c>
      <c r="AF28">
        <v>1.2882309980403477E-2</v>
      </c>
      <c r="AG28">
        <f>RESULTADOS_R!$T$18</f>
        <v>4.3639999999999998E-3</v>
      </c>
      <c r="AH28">
        <f t="shared" si="0"/>
        <v>8.5183099804034771E-3</v>
      </c>
      <c r="AI28" s="3"/>
      <c r="AJ28" t="s">
        <v>133</v>
      </c>
      <c r="AK28" t="s">
        <v>26</v>
      </c>
      <c r="AL28">
        <v>-2.8575416821089881E-3</v>
      </c>
      <c r="AM28">
        <v>3.8978499557035967E-4</v>
      </c>
      <c r="AN28">
        <v>1.193861479159263E-2</v>
      </c>
      <c r="AO28">
        <v>5.2296465149002849E-3</v>
      </c>
      <c r="AP28">
        <v>-3.4157782960593653E-3</v>
      </c>
      <c r="AQ28">
        <f>RESULTADOS_R!$T$19+(RESULTADOS_R!$T$20*AL27)+(RESULTADOS_R!$T$21*AL26)+(RESULTADOS_R!$T$22*AL25)+(RESULTADOS_R!$T$23*AL24)</f>
        <v>2.3730259678760826E-5</v>
      </c>
      <c r="AR28">
        <f t="shared" si="5"/>
        <v>-2.8812719417877488E-3</v>
      </c>
      <c r="AS28" s="3"/>
      <c r="AT28" t="s">
        <v>133</v>
      </c>
      <c r="AU28" t="s">
        <v>26</v>
      </c>
      <c r="AV28">
        <v>-2.2142273093093841E-3</v>
      </c>
      <c r="AW28">
        <v>-2.2093353366771907E-3</v>
      </c>
      <c r="AX28">
        <v>1.4728625292385543E-2</v>
      </c>
      <c r="AY28">
        <f>RESULTADOS_R!$T$24+(RESULTADOS_R!$T$25*AV27)+(RESULTADOS_R!$T$26*AV26)</f>
        <v>-5.3954693500760586E-4</v>
      </c>
      <c r="AZ28">
        <f t="shared" si="3"/>
        <v>-1.6746803743017784E-3</v>
      </c>
      <c r="BA28" s="3"/>
      <c r="BB28" t="s">
        <v>133</v>
      </c>
      <c r="BC28" t="s">
        <v>26</v>
      </c>
      <c r="BD28">
        <v>2.7317931789735211E-3</v>
      </c>
      <c r="BE28">
        <v>-1.1614104732685718E-3</v>
      </c>
      <c r="BF28">
        <f>RESULTADOS_R!$T$27+(RESULTADOS_R!$T$28*BD27)</f>
        <v>-1.5596784021089009E-4</v>
      </c>
      <c r="BG28">
        <f t="shared" si="1"/>
        <v>2.887761019184411E-3</v>
      </c>
    </row>
    <row r="29" spans="1:59" x14ac:dyDescent="0.25">
      <c r="A29" t="s">
        <v>133</v>
      </c>
      <c r="B29" t="s">
        <v>27</v>
      </c>
      <c r="C29">
        <v>-1.2026850577742426E-3</v>
      </c>
      <c r="D29">
        <v>3.7102171051951044E-3</v>
      </c>
      <c r="E29">
        <v>9.5995495134855516E-3</v>
      </c>
      <c r="F29">
        <v>-3.0241295810405442E-3</v>
      </c>
      <c r="G29">
        <v>3.254601225817483E-3</v>
      </c>
      <c r="H29">
        <f>RESULTADOS_R!$T$4+(RESULTADOS_R!$T$5*C28)+(RESULTADOS_R!$T$6*C27)+(RESULTADOS_R!$T$7*C26)+(RESULTADOS_R!$T$8*C25)</f>
        <v>1.5409099662037691E-3</v>
      </c>
      <c r="I29">
        <f t="shared" si="4"/>
        <v>-2.743595023978012E-3</v>
      </c>
      <c r="J29" s="3"/>
      <c r="K29" t="s">
        <v>133</v>
      </c>
      <c r="L29" t="s">
        <v>27</v>
      </c>
      <c r="M29">
        <v>-7.0863354801946831E-4</v>
      </c>
      <c r="N29">
        <v>-7.0813174208967603E-4</v>
      </c>
      <c r="O29">
        <v>-2.2391147178426477E-3</v>
      </c>
      <c r="P29">
        <v>1.7673053200838013E-3</v>
      </c>
      <c r="Q29">
        <v>5.8979653729773274E-4</v>
      </c>
      <c r="R29">
        <v>2.3601605018694691E-4</v>
      </c>
      <c r="S29">
        <f>RESULTADOS_R!$T$9+(RESULTADOS_R!$T$10*M28)+(RESULTADOS_R!$T$11*M27)+(RESULTADOS_R!$T$12*M26)+(RESULTADOS_R!$T$13*M25)+(RESULTADOS_R!$T$14*M24)</f>
        <v>-2.9441593755281551E-4</v>
      </c>
      <c r="T29">
        <f t="shared" si="6"/>
        <v>-4.142176104666528E-4</v>
      </c>
      <c r="U29" s="3"/>
      <c r="V29" t="s">
        <v>133</v>
      </c>
      <c r="W29" t="s">
        <v>27</v>
      </c>
      <c r="X29">
        <v>-7.473686833461687E-3</v>
      </c>
      <c r="Y29">
        <v>1.622717640467701E-2</v>
      </c>
      <c r="Z29">
        <v>6.6649458670604983E-3</v>
      </c>
      <c r="AA29">
        <f>RESULTADOS_R!$T$15+(RESULTADOS_R!$T$16*'EV1-ER-AR'!X28)+(RESULTADOS_R!$T$17*'EV1-ER-AR'!X27)</f>
        <v>3.9666807185456173E-3</v>
      </c>
      <c r="AB29">
        <f t="shared" si="2"/>
        <v>-1.1440367552007304E-2</v>
      </c>
      <c r="AC29" s="3"/>
      <c r="AD29" t="s">
        <v>133</v>
      </c>
      <c r="AE29" t="s">
        <v>27</v>
      </c>
      <c r="AF29">
        <v>1.5700608873311577E-2</v>
      </c>
      <c r="AG29">
        <f>RESULTADOS_R!$T$18</f>
        <v>4.3639999999999998E-3</v>
      </c>
      <c r="AH29">
        <f t="shared" si="0"/>
        <v>1.1336608873311577E-2</v>
      </c>
      <c r="AI29" s="3"/>
      <c r="AJ29" t="s">
        <v>133</v>
      </c>
      <c r="AK29" t="s">
        <v>27</v>
      </c>
      <c r="AL29">
        <v>-1.7056059769096708E-2</v>
      </c>
      <c r="AM29">
        <v>-2.8575416821089881E-3</v>
      </c>
      <c r="AN29">
        <v>3.8978499557035967E-4</v>
      </c>
      <c r="AO29">
        <v>1.193861479159263E-2</v>
      </c>
      <c r="AP29">
        <v>5.2296465149002849E-3</v>
      </c>
      <c r="AQ29">
        <f>RESULTADOS_R!$T$19+(RESULTADOS_R!$T$20*AL28)+(RESULTADOS_R!$T$21*AL27)+(RESULTADOS_R!$T$22*AL26)+(RESULTADOS_R!$T$23*AL25)</f>
        <v>-1.2124875569978588E-3</v>
      </c>
      <c r="AR29">
        <f t="shared" si="5"/>
        <v>-1.5843572212098849E-2</v>
      </c>
      <c r="AS29" s="3"/>
      <c r="AT29" t="s">
        <v>133</v>
      </c>
      <c r="AU29" t="s">
        <v>27</v>
      </c>
      <c r="AV29">
        <v>-2.5822372168806205E-2</v>
      </c>
      <c r="AW29">
        <v>-2.2142273093093841E-3</v>
      </c>
      <c r="AX29">
        <v>-2.2093353366771907E-3</v>
      </c>
      <c r="AY29">
        <f>RESULTADOS_R!$T$24+(RESULTADOS_R!$T$25*AV28)+(RESULTADOS_R!$T$26*AV27)</f>
        <v>1.1614656371914229E-3</v>
      </c>
      <c r="AZ29">
        <f t="shared" si="3"/>
        <v>-2.6983837805997626E-2</v>
      </c>
      <c r="BA29" s="3"/>
      <c r="BB29" t="s">
        <v>133</v>
      </c>
      <c r="BC29" t="s">
        <v>27</v>
      </c>
      <c r="BD29">
        <v>4.8903354950582973E-3</v>
      </c>
      <c r="BE29">
        <v>2.7317931789735211E-3</v>
      </c>
      <c r="BF29">
        <f>RESULTADOS_R!$T$27+(RESULTADOS_R!$T$28*BD28)</f>
        <v>5.8692152712811992E-4</v>
      </c>
      <c r="BG29">
        <f t="shared" si="1"/>
        <v>4.3034139679301777E-3</v>
      </c>
    </row>
    <row r="30" spans="1:59" x14ac:dyDescent="0.25">
      <c r="A30" t="s">
        <v>133</v>
      </c>
      <c r="B30" t="s">
        <v>28</v>
      </c>
      <c r="C30">
        <v>7.1528435601642831E-4</v>
      </c>
      <c r="D30">
        <v>-1.2026850577742426E-3</v>
      </c>
      <c r="E30">
        <v>3.7102171051951044E-3</v>
      </c>
      <c r="F30">
        <v>9.5995495134855516E-3</v>
      </c>
      <c r="G30">
        <v>-3.0241295810405442E-3</v>
      </c>
      <c r="H30">
        <f>RESULTADOS_R!$T$4+(RESULTADOS_R!$T$5*C29)+(RESULTADOS_R!$T$6*C28)+(RESULTADOS_R!$T$7*C27)+(RESULTADOS_R!$T$8*C26)</f>
        <v>-1.4803558658326352E-3</v>
      </c>
      <c r="I30">
        <f t="shared" si="4"/>
        <v>2.1956402218490634E-3</v>
      </c>
      <c r="J30" s="3"/>
      <c r="K30" t="s">
        <v>133</v>
      </c>
      <c r="L30" t="s">
        <v>28</v>
      </c>
      <c r="M30">
        <v>5.9056282351830692E-4</v>
      </c>
      <c r="N30">
        <v>-7.0863354801946831E-4</v>
      </c>
      <c r="O30">
        <v>-7.0813174208967603E-4</v>
      </c>
      <c r="P30">
        <v>-2.2391147178426477E-3</v>
      </c>
      <c r="Q30">
        <v>1.7673053200838013E-3</v>
      </c>
      <c r="R30">
        <v>5.8979653729773274E-4</v>
      </c>
      <c r="S30">
        <f>RESULTADOS_R!$T$9+(RESULTADOS_R!$T$10*M29)+(RESULTADOS_R!$T$11*M28)+(RESULTADOS_R!$T$12*M27)+(RESULTADOS_R!$T$13*M26)+(RESULTADOS_R!$T$14*M25)</f>
        <v>4.5625748979999365E-4</v>
      </c>
      <c r="T30">
        <f t="shared" si="6"/>
        <v>1.3430533371831327E-4</v>
      </c>
      <c r="U30" s="3"/>
      <c r="V30" t="s">
        <v>133</v>
      </c>
      <c r="W30" t="s">
        <v>28</v>
      </c>
      <c r="X30">
        <v>1.9625021559744262E-3</v>
      </c>
      <c r="Y30">
        <v>-7.473686833461687E-3</v>
      </c>
      <c r="Z30">
        <v>1.622717640467701E-2</v>
      </c>
      <c r="AA30">
        <f>RESULTADOS_R!$T$15+(RESULTADOS_R!$T$16*'EV1-ER-AR'!X29)+(RESULTADOS_R!$T$17*'EV1-ER-AR'!X28)</f>
        <v>-3.7654386742563303E-3</v>
      </c>
      <c r="AB30">
        <f t="shared" si="2"/>
        <v>5.7279408302307565E-3</v>
      </c>
      <c r="AC30" s="3"/>
      <c r="AD30" t="s">
        <v>133</v>
      </c>
      <c r="AE30" t="s">
        <v>28</v>
      </c>
      <c r="AF30">
        <v>1.2022632870500278E-2</v>
      </c>
      <c r="AG30">
        <f>RESULTADOS_R!$T$18</f>
        <v>4.3639999999999998E-3</v>
      </c>
      <c r="AH30">
        <f t="shared" si="0"/>
        <v>7.6586328705002781E-3</v>
      </c>
      <c r="AI30" s="3"/>
      <c r="AJ30" t="s">
        <v>133</v>
      </c>
      <c r="AK30" t="s">
        <v>28</v>
      </c>
      <c r="AL30">
        <v>4.2762692242419836E-3</v>
      </c>
      <c r="AM30">
        <v>-1.7056059769096708E-2</v>
      </c>
      <c r="AN30">
        <v>-2.8575416821089881E-3</v>
      </c>
      <c r="AO30">
        <v>3.8978499557035967E-4</v>
      </c>
      <c r="AP30">
        <v>1.193861479159263E-2</v>
      </c>
      <c r="AQ30">
        <f>RESULTADOS_R!$T$19+(RESULTADOS_R!$T$20*AL29)+(RESULTADOS_R!$T$21*AL28)+(RESULTADOS_R!$T$22*AL27)+(RESULTADOS_R!$T$23*AL26)</f>
        <v>3.9682943537666768E-4</v>
      </c>
      <c r="AR30">
        <f t="shared" si="5"/>
        <v>3.8794397888653161E-3</v>
      </c>
      <c r="AS30" s="3"/>
      <c r="AT30" t="s">
        <v>133</v>
      </c>
      <c r="AU30" t="s">
        <v>28</v>
      </c>
      <c r="AV30">
        <v>2.0507816913637495E-3</v>
      </c>
      <c r="AW30">
        <v>-2.5822372168806205E-2</v>
      </c>
      <c r="AX30">
        <v>-2.2142273093093841E-3</v>
      </c>
      <c r="AY30">
        <f>RESULTADOS_R!$T$24+(RESULTADOS_R!$T$25*AV29)+(RESULTADOS_R!$T$26*AV28)</f>
        <v>2.3435515806518518E-3</v>
      </c>
      <c r="AZ30">
        <f t="shared" si="3"/>
        <v>-2.9276988928810237E-4</v>
      </c>
      <c r="BA30" s="3"/>
      <c r="BB30" t="s">
        <v>133</v>
      </c>
      <c r="BC30" t="s">
        <v>28</v>
      </c>
      <c r="BD30">
        <v>-3.1643147226038834E-4</v>
      </c>
      <c r="BE30">
        <v>4.8903354950582973E-3</v>
      </c>
      <c r="BF30">
        <f>RESULTADOS_R!$T$27+(RESULTADOS_R!$T$28*BD29)</f>
        <v>9.9880805524416483E-4</v>
      </c>
      <c r="BG30">
        <f t="shared" si="1"/>
        <v>-1.3152395275045532E-3</v>
      </c>
    </row>
    <row r="31" spans="1:59" x14ac:dyDescent="0.25">
      <c r="A31" t="s">
        <v>133</v>
      </c>
      <c r="B31" t="s">
        <v>29</v>
      </c>
      <c r="C31">
        <v>2.7263892253287618E-3</v>
      </c>
      <c r="D31">
        <v>7.1528435601642831E-4</v>
      </c>
      <c r="E31">
        <v>-1.2026850577742426E-3</v>
      </c>
      <c r="F31">
        <v>3.7102171051951044E-3</v>
      </c>
      <c r="G31">
        <v>9.5995495134855516E-3</v>
      </c>
      <c r="H31">
        <f>RESULTADOS_R!$T$4+(RESULTADOS_R!$T$5*C30)+(RESULTADOS_R!$T$6*C29)+(RESULTADOS_R!$T$7*C28)+(RESULTADOS_R!$T$8*C27)</f>
        <v>3.0989016083988914E-3</v>
      </c>
      <c r="I31">
        <f t="shared" si="4"/>
        <v>-3.7251238307012963E-4</v>
      </c>
      <c r="J31" s="3"/>
      <c r="K31" t="s">
        <v>133</v>
      </c>
      <c r="L31" t="s">
        <v>29</v>
      </c>
      <c r="M31">
        <v>-1.1814746175844509E-3</v>
      </c>
      <c r="N31">
        <v>5.9056282351830692E-4</v>
      </c>
      <c r="O31">
        <v>-7.0863354801946831E-4</v>
      </c>
      <c r="P31">
        <v>-7.0813174208967603E-4</v>
      </c>
      <c r="Q31">
        <v>-2.2391147178426477E-3</v>
      </c>
      <c r="R31">
        <v>1.7673053200838013E-3</v>
      </c>
      <c r="S31">
        <f>RESULTADOS_R!$T$9+(RESULTADOS_R!$T$10*M30)+(RESULTADOS_R!$T$11*M29)+(RESULTADOS_R!$T$12*M28)+(RESULTADOS_R!$T$13*M27)+(RESULTADOS_R!$T$14*M26)</f>
        <v>-2.3860697443184585E-4</v>
      </c>
      <c r="T31">
        <f t="shared" si="6"/>
        <v>-9.4286764315260497E-4</v>
      </c>
      <c r="U31" s="3"/>
      <c r="V31" t="s">
        <v>133</v>
      </c>
      <c r="W31" t="s">
        <v>29</v>
      </c>
      <c r="X31">
        <v>-1.0019040207042144E-2</v>
      </c>
      <c r="Y31">
        <v>1.9625021559744262E-3</v>
      </c>
      <c r="Z31">
        <v>-7.473686833461687E-3</v>
      </c>
      <c r="AA31">
        <f>RESULTADOS_R!$T$15+(RESULTADOS_R!$T$16*'EV1-ER-AR'!X30)+(RESULTADOS_R!$T$17*'EV1-ER-AR'!X29)</f>
        <v>3.779417222611449E-3</v>
      </c>
      <c r="AB31">
        <f t="shared" si="2"/>
        <v>-1.3798457429653592E-2</v>
      </c>
      <c r="AC31" s="3"/>
      <c r="AD31" t="s">
        <v>133</v>
      </c>
      <c r="AE31" t="s">
        <v>29</v>
      </c>
      <c r="AF31">
        <v>-1.9060534617013836E-2</v>
      </c>
      <c r="AG31">
        <f>RESULTADOS_R!$T$18</f>
        <v>4.3639999999999998E-3</v>
      </c>
      <c r="AH31">
        <f t="shared" si="0"/>
        <v>-2.3424534617013836E-2</v>
      </c>
      <c r="AI31" s="3"/>
      <c r="AJ31" t="s">
        <v>133</v>
      </c>
      <c r="AK31" t="s">
        <v>29</v>
      </c>
      <c r="AL31">
        <v>-1.5136184164690238E-2</v>
      </c>
      <c r="AM31">
        <v>4.2762692242419836E-3</v>
      </c>
      <c r="AN31">
        <v>-1.7056059769096708E-2</v>
      </c>
      <c r="AO31">
        <v>-2.8575416821089881E-3</v>
      </c>
      <c r="AP31">
        <v>3.8978499557035967E-4</v>
      </c>
      <c r="AQ31">
        <f>RESULTADOS_R!$T$19+(RESULTADOS_R!$T$20*AL30)+(RESULTADOS_R!$T$21*AL29)+(RESULTADOS_R!$T$22*AL28)+(RESULTADOS_R!$T$23*AL27)</f>
        <v>8.8659894864927865E-4</v>
      </c>
      <c r="AR31">
        <f t="shared" si="5"/>
        <v>-1.6022783113339517E-2</v>
      </c>
      <c r="AS31" s="3"/>
      <c r="AT31" t="s">
        <v>133</v>
      </c>
      <c r="AU31" t="s">
        <v>29</v>
      </c>
      <c r="AV31">
        <v>-2.9556702488341909E-2</v>
      </c>
      <c r="AW31">
        <v>2.0507816913637495E-3</v>
      </c>
      <c r="AX31">
        <v>-2.5822372168806205E-2</v>
      </c>
      <c r="AY31">
        <f>RESULTADOS_R!$T$24+(RESULTADOS_R!$T$25*AV30)+(RESULTADOS_R!$T$26*AV29)</f>
        <v>3.3190234663780381E-3</v>
      </c>
      <c r="AZ31">
        <f t="shared" si="3"/>
        <v>-3.287572595471995E-2</v>
      </c>
      <c r="BA31" s="3"/>
      <c r="BB31" t="s">
        <v>133</v>
      </c>
      <c r="BC31" t="s">
        <v>29</v>
      </c>
      <c r="BD31">
        <v>1.9480360070503386E-3</v>
      </c>
      <c r="BE31">
        <v>-3.1643147226038834E-4</v>
      </c>
      <c r="BF31">
        <f>RESULTADOS_R!$T$27+(RESULTADOS_R!$T$28*BD30)</f>
        <v>5.2685017698874445E-6</v>
      </c>
      <c r="BG31">
        <f t="shared" si="1"/>
        <v>1.9427675052804511E-3</v>
      </c>
    </row>
    <row r="32" spans="1:59" x14ac:dyDescent="0.25">
      <c r="A32" t="s">
        <v>133</v>
      </c>
      <c r="B32" t="s">
        <v>30</v>
      </c>
      <c r="C32">
        <v>2.5573391727461495E-3</v>
      </c>
      <c r="D32">
        <v>2.7263892253287618E-3</v>
      </c>
      <c r="E32">
        <v>7.1528435601642831E-4</v>
      </c>
      <c r="F32">
        <v>-1.2026850577742426E-3</v>
      </c>
      <c r="G32">
        <v>3.7102171051951044E-3</v>
      </c>
      <c r="H32">
        <f>RESULTADOS_R!$T$4+(RESULTADOS_R!$T$5*C31)+(RESULTADOS_R!$T$6*C30)+(RESULTADOS_R!$T$7*C29)+(RESULTADOS_R!$T$8*C28)</f>
        <v>2.7198882364097344E-3</v>
      </c>
      <c r="I32">
        <f t="shared" si="4"/>
        <v>-1.6254906366358493E-4</v>
      </c>
      <c r="J32" s="3"/>
      <c r="K32" t="s">
        <v>133</v>
      </c>
      <c r="L32" t="s">
        <v>30</v>
      </c>
      <c r="M32">
        <v>1.1821029625431125E-4</v>
      </c>
      <c r="N32">
        <v>-1.1814746175844509E-3</v>
      </c>
      <c r="O32">
        <v>5.9056282351830692E-4</v>
      </c>
      <c r="P32">
        <v>-7.0863354801946831E-4</v>
      </c>
      <c r="Q32">
        <v>-7.0813174208967603E-4</v>
      </c>
      <c r="R32">
        <v>-2.2391147178426477E-3</v>
      </c>
      <c r="S32">
        <f>RESULTADOS_R!$T$9+(RESULTADOS_R!$T$10*M31)+(RESULTADOS_R!$T$11*M30)+(RESULTADOS_R!$T$12*M29)+(RESULTADOS_R!$T$13*M28)+(RESULTADOS_R!$T$14*M27)</f>
        <v>4.7434246551525996E-4</v>
      </c>
      <c r="T32">
        <f t="shared" si="6"/>
        <v>-3.5613216926094868E-4</v>
      </c>
      <c r="U32" s="3"/>
      <c r="V32" t="s">
        <v>133</v>
      </c>
      <c r="W32" t="s">
        <v>30</v>
      </c>
      <c r="X32">
        <v>-5.1214058607090975E-2</v>
      </c>
      <c r="Y32">
        <v>-1.0019040207042144E-2</v>
      </c>
      <c r="Z32">
        <v>1.9625021559744262E-3</v>
      </c>
      <c r="AA32">
        <f>RESULTADOS_R!$T$15+(RESULTADOS_R!$T$16*'EV1-ER-AR'!X31)+(RESULTADOS_R!$T$17*'EV1-ER-AR'!X30)</f>
        <v>-1.1626642046152168E-3</v>
      </c>
      <c r="AB32">
        <f t="shared" si="2"/>
        <v>-5.005139440247576E-2</v>
      </c>
      <c r="AC32" s="3"/>
      <c r="AD32" t="s">
        <v>133</v>
      </c>
      <c r="AE32" t="s">
        <v>30</v>
      </c>
      <c r="AF32">
        <v>-2.0232794900721079E-2</v>
      </c>
      <c r="AG32">
        <f>RESULTADOS_R!$T$18</f>
        <v>4.3639999999999998E-3</v>
      </c>
      <c r="AH32">
        <f t="shared" si="0"/>
        <v>-2.4596794900721079E-2</v>
      </c>
      <c r="AI32" s="3"/>
      <c r="AJ32" t="s">
        <v>133</v>
      </c>
      <c r="AK32" t="s">
        <v>30</v>
      </c>
      <c r="AL32">
        <v>-6.4304069219734122E-3</v>
      </c>
      <c r="AM32">
        <v>-1.5136184164690238E-2</v>
      </c>
      <c r="AN32">
        <v>4.2762692242419836E-3</v>
      </c>
      <c r="AO32">
        <v>-1.7056059769096708E-2</v>
      </c>
      <c r="AP32">
        <v>-2.8575416821089881E-3</v>
      </c>
      <c r="AQ32">
        <f>RESULTADOS_R!$T$19+(RESULTADOS_R!$T$20*AL31)+(RESULTADOS_R!$T$21*AL30)+(RESULTADOS_R!$T$22*AL29)+(RESULTADOS_R!$T$23*AL28)</f>
        <v>2.7966476133317185E-3</v>
      </c>
      <c r="AR32">
        <f t="shared" si="5"/>
        <v>-9.2270545353051302E-3</v>
      </c>
      <c r="AS32" s="3"/>
      <c r="AT32" t="s">
        <v>133</v>
      </c>
      <c r="AU32" t="s">
        <v>30</v>
      </c>
      <c r="AV32">
        <v>-1.8417443862107832E-2</v>
      </c>
      <c r="AW32">
        <v>-2.9556702488341909E-2</v>
      </c>
      <c r="AX32">
        <v>2.0507816913637495E-3</v>
      </c>
      <c r="AY32">
        <f>RESULTADOS_R!$T$24+(RESULTADOS_R!$T$25*AV31)+(RESULTADOS_R!$T$26*AV30)</f>
        <v>2.1021995556717186E-3</v>
      </c>
      <c r="AZ32">
        <f t="shared" si="3"/>
        <v>-2.0519643417779551E-2</v>
      </c>
      <c r="BA32" s="3"/>
      <c r="BB32" t="s">
        <v>133</v>
      </c>
      <c r="BC32" t="s">
        <v>30</v>
      </c>
      <c r="BD32">
        <v>2.1374489043239132E-3</v>
      </c>
      <c r="BE32">
        <v>1.9480360070503386E-3</v>
      </c>
      <c r="BF32">
        <f>RESULTADOS_R!$T$27+(RESULTADOS_R!$T$28*BD31)</f>
        <v>4.3736734974464029E-4</v>
      </c>
      <c r="BG32">
        <f t="shared" si="1"/>
        <v>1.7000815545792729E-3</v>
      </c>
    </row>
    <row r="33" spans="1:59" x14ac:dyDescent="0.25">
      <c r="A33" t="s">
        <v>133</v>
      </c>
      <c r="B33" t="s">
        <v>31</v>
      </c>
      <c r="C33">
        <v>-1.9740787304309412E-3</v>
      </c>
      <c r="D33">
        <v>2.5573391727461495E-3</v>
      </c>
      <c r="E33">
        <v>2.7263892253287618E-3</v>
      </c>
      <c r="F33">
        <v>7.1528435601642831E-4</v>
      </c>
      <c r="G33">
        <v>-1.2026850577742426E-3</v>
      </c>
      <c r="H33">
        <f>RESULTADOS_R!$T$4+(RESULTADOS_R!$T$5*C32)+(RESULTADOS_R!$T$6*C31)+(RESULTADOS_R!$T$7*C30)+(RESULTADOS_R!$T$8*C29)</f>
        <v>9.5768229712136404E-4</v>
      </c>
      <c r="I33">
        <f t="shared" si="4"/>
        <v>-2.9317610275523052E-3</v>
      </c>
      <c r="J33" s="3"/>
      <c r="K33" t="s">
        <v>133</v>
      </c>
      <c r="L33" t="s">
        <v>31</v>
      </c>
      <c r="M33">
        <v>2.3637867974387808E-4</v>
      </c>
      <c r="N33">
        <v>1.1821029625431125E-4</v>
      </c>
      <c r="O33">
        <v>-1.1814746175844509E-3</v>
      </c>
      <c r="P33">
        <v>5.9056282351830692E-4</v>
      </c>
      <c r="Q33">
        <v>-7.0863354801946831E-4</v>
      </c>
      <c r="R33">
        <v>-7.0813174208967603E-4</v>
      </c>
      <c r="S33">
        <f>RESULTADOS_R!$T$9+(RESULTADOS_R!$T$10*M32)+(RESULTADOS_R!$T$11*M31)+(RESULTADOS_R!$T$12*M30)+(RESULTADOS_R!$T$13*M29)+(RESULTADOS_R!$T$14*M28)</f>
        <v>-1.19794862486307E-4</v>
      </c>
      <c r="T33">
        <f t="shared" si="6"/>
        <v>3.5617354223018506E-4</v>
      </c>
      <c r="U33" s="3"/>
      <c r="V33" t="s">
        <v>133</v>
      </c>
      <c r="W33" t="s">
        <v>31</v>
      </c>
      <c r="X33">
        <v>-5.3627713714826976E-3</v>
      </c>
      <c r="Y33">
        <v>-5.1214058607090975E-2</v>
      </c>
      <c r="Z33">
        <v>-1.0019040207042144E-2</v>
      </c>
      <c r="AA33">
        <f>RESULTADOS_R!$T$15+(RESULTADOS_R!$T$16*'EV1-ER-AR'!X32)+(RESULTADOS_R!$T$17*'EV1-ER-AR'!X31)</f>
        <v>-8.1805466351675855E-3</v>
      </c>
      <c r="AB33">
        <f t="shared" si="2"/>
        <v>2.817775263684888E-3</v>
      </c>
      <c r="AC33" s="3"/>
      <c r="AD33" t="s">
        <v>133</v>
      </c>
      <c r="AE33" t="s">
        <v>31</v>
      </c>
      <c r="AF33">
        <v>6.9146715767577586E-3</v>
      </c>
      <c r="AG33">
        <f>RESULTADOS_R!$T$18</f>
        <v>4.3639999999999998E-3</v>
      </c>
      <c r="AH33">
        <f t="shared" si="0"/>
        <v>2.5506715767577588E-3</v>
      </c>
      <c r="AI33" s="3"/>
      <c r="AJ33" t="s">
        <v>133</v>
      </c>
      <c r="AK33" t="s">
        <v>31</v>
      </c>
      <c r="AL33">
        <v>-1.8939399600707096E-3</v>
      </c>
      <c r="AM33">
        <v>-6.4304069219734122E-3</v>
      </c>
      <c r="AN33">
        <v>-1.5136184164690238E-2</v>
      </c>
      <c r="AO33">
        <v>4.2762692242419836E-3</v>
      </c>
      <c r="AP33">
        <v>-1.7056059769096708E-2</v>
      </c>
      <c r="AQ33">
        <f>RESULTADOS_R!$T$19+(RESULTADOS_R!$T$20*AL32)+(RESULTADOS_R!$T$21*AL31)+(RESULTADOS_R!$T$22*AL30)+(RESULTADOS_R!$T$23*AL29)</f>
        <v>-2.8208151513696451E-3</v>
      </c>
      <c r="AR33">
        <f t="shared" si="5"/>
        <v>9.2687519129893542E-4</v>
      </c>
      <c r="AS33" s="3"/>
      <c r="AT33" t="s">
        <v>133</v>
      </c>
      <c r="AU33" t="s">
        <v>31</v>
      </c>
      <c r="AV33">
        <v>3.5244474191642597E-3</v>
      </c>
      <c r="AW33">
        <v>-1.8417443862107832E-2</v>
      </c>
      <c r="AX33">
        <v>-2.9556702488341909E-2</v>
      </c>
      <c r="AY33">
        <f>RESULTADOS_R!$T$24+(RESULTADOS_R!$T$25*AV32)+(RESULTADOS_R!$T$26*AV31)</f>
        <v>4.7184343781100481E-3</v>
      </c>
      <c r="AZ33">
        <f t="shared" si="3"/>
        <v>-1.1939869589457884E-3</v>
      </c>
      <c r="BA33" s="3"/>
      <c r="BB33" t="s">
        <v>133</v>
      </c>
      <c r="BC33" t="s">
        <v>31</v>
      </c>
      <c r="BD33">
        <v>-1.5568323139561529E-3</v>
      </c>
      <c r="BE33">
        <v>2.1374489043239132E-3</v>
      </c>
      <c r="BF33">
        <f>RESULTADOS_R!$T$27+(RESULTADOS_R!$T$28*BD32)</f>
        <v>4.7351054696484691E-4</v>
      </c>
      <c r="BG33">
        <f t="shared" si="1"/>
        <v>-2.0303428609209999E-3</v>
      </c>
    </row>
    <row r="34" spans="1:59" x14ac:dyDescent="0.25">
      <c r="A34" t="s">
        <v>133</v>
      </c>
      <c r="B34" t="s">
        <v>32</v>
      </c>
      <c r="C34">
        <v>1.5537000600742981E-3</v>
      </c>
      <c r="D34">
        <v>-1.9740787304309412E-3</v>
      </c>
      <c r="E34">
        <v>2.5573391727461495E-3</v>
      </c>
      <c r="F34">
        <v>2.7263892253287618E-3</v>
      </c>
      <c r="G34">
        <v>7.1528435601642831E-4</v>
      </c>
      <c r="H34">
        <f>RESULTADOS_R!$T$4+(RESULTADOS_R!$T$5*C33)+(RESULTADOS_R!$T$6*C32)+(RESULTADOS_R!$T$7*C31)+(RESULTADOS_R!$T$8*C30)</f>
        <v>1.312556696495971E-3</v>
      </c>
      <c r="I34">
        <f t="shared" si="4"/>
        <v>2.4114336357832704E-4</v>
      </c>
      <c r="J34" s="3"/>
      <c r="K34" t="s">
        <v>133</v>
      </c>
      <c r="L34" t="s">
        <v>32</v>
      </c>
      <c r="M34">
        <v>1.1816839009310881E-4</v>
      </c>
      <c r="N34">
        <v>2.3637867974387808E-4</v>
      </c>
      <c r="O34">
        <v>1.1821029625431125E-4</v>
      </c>
      <c r="P34">
        <v>-1.1814746175844509E-3</v>
      </c>
      <c r="Q34">
        <v>5.9056282351830692E-4</v>
      </c>
      <c r="R34">
        <v>-7.0863354801946831E-4</v>
      </c>
      <c r="S34">
        <f>RESULTADOS_R!$T$9+(RESULTADOS_R!$T$10*M33)+(RESULTADOS_R!$T$11*M32)+(RESULTADOS_R!$T$12*M31)+(RESULTADOS_R!$T$13*M30)+(RESULTADOS_R!$T$14*M29)</f>
        <v>2.6105684091412692E-4</v>
      </c>
      <c r="T34">
        <f t="shared" si="6"/>
        <v>-1.4288845082101811E-4</v>
      </c>
      <c r="U34" s="3"/>
      <c r="V34" t="s">
        <v>133</v>
      </c>
      <c r="W34" t="s">
        <v>32</v>
      </c>
      <c r="X34">
        <v>6.5865498983259567E-3</v>
      </c>
      <c r="Y34">
        <v>-5.3627713714826976E-3</v>
      </c>
      <c r="Z34">
        <v>-5.1214058607090975E-2</v>
      </c>
      <c r="AA34">
        <f>RESULTADOS_R!$T$15+(RESULTADOS_R!$T$16*'EV1-ER-AR'!X33)+(RESULTADOS_R!$T$17*'EV1-ER-AR'!X32)</f>
        <v>1.1873447326964317E-2</v>
      </c>
      <c r="AB34">
        <f t="shared" si="2"/>
        <v>-5.2868974286383605E-3</v>
      </c>
      <c r="AC34" s="3"/>
      <c r="AD34" t="s">
        <v>133</v>
      </c>
      <c r="AE34" t="s">
        <v>32</v>
      </c>
      <c r="AF34">
        <v>7.2718303448064152E-3</v>
      </c>
      <c r="AG34">
        <f>RESULTADOS_R!$T$18</f>
        <v>4.3639999999999998E-3</v>
      </c>
      <c r="AH34">
        <f t="shared" si="0"/>
        <v>2.9078303448064153E-3</v>
      </c>
      <c r="AI34" s="3"/>
      <c r="AJ34" t="s">
        <v>133</v>
      </c>
      <c r="AK34" t="s">
        <v>32</v>
      </c>
      <c r="AL34">
        <v>8.8565755560018845E-4</v>
      </c>
      <c r="AM34">
        <v>-1.8939399600707096E-3</v>
      </c>
      <c r="AN34">
        <v>-6.4304069219734122E-3</v>
      </c>
      <c r="AO34">
        <v>-1.5136184164690238E-2</v>
      </c>
      <c r="AP34">
        <v>4.2762692242419836E-3</v>
      </c>
      <c r="AQ34">
        <f>RESULTADOS_R!$T$19+(RESULTADOS_R!$T$20*AL33)+(RESULTADOS_R!$T$21*AL32)+(RESULTADOS_R!$T$22*AL31)+(RESULTADOS_R!$T$23*AL30)</f>
        <v>3.6062749655694239E-3</v>
      </c>
      <c r="AR34">
        <f t="shared" si="5"/>
        <v>-2.7206174099692355E-3</v>
      </c>
      <c r="AS34" s="3"/>
      <c r="AT34" t="s">
        <v>133</v>
      </c>
      <c r="AU34" t="s">
        <v>32</v>
      </c>
      <c r="AV34">
        <v>-4.8411268371322449E-3</v>
      </c>
      <c r="AW34">
        <v>3.5244474191642597E-3</v>
      </c>
      <c r="AX34">
        <v>-1.8417443862107832E-2</v>
      </c>
      <c r="AY34">
        <f>RESULTADOS_R!$T$24+(RESULTADOS_R!$T$25*AV33)+(RESULTADOS_R!$T$26*AV32)</f>
        <v>2.5017253554410297E-3</v>
      </c>
      <c r="AZ34">
        <f t="shared" si="3"/>
        <v>-7.3428521925732746E-3</v>
      </c>
      <c r="BA34" s="3"/>
      <c r="BB34" t="s">
        <v>133</v>
      </c>
      <c r="BC34" t="s">
        <v>32</v>
      </c>
      <c r="BD34">
        <v>1.1093640614805635E-3</v>
      </c>
      <c r="BE34">
        <v>-1.5568323139561529E-3</v>
      </c>
      <c r="BF34">
        <f>RESULTADOS_R!$T$27+(RESULTADOS_R!$T$28*BD33)</f>
        <v>-2.3142104207235725E-4</v>
      </c>
      <c r="BG34">
        <f t="shared" si="1"/>
        <v>1.3407851035529207E-3</v>
      </c>
    </row>
    <row r="35" spans="1:59" x14ac:dyDescent="0.25">
      <c r="A35" t="s">
        <v>133</v>
      </c>
      <c r="B35" t="s">
        <v>33</v>
      </c>
      <c r="C35">
        <v>7.1130657077779177E-4</v>
      </c>
      <c r="D35">
        <v>1.5537000600742981E-3</v>
      </c>
      <c r="E35">
        <v>-1.9740787304309412E-3</v>
      </c>
      <c r="F35">
        <v>2.5573391727461495E-3</v>
      </c>
      <c r="G35">
        <v>2.7263892253287618E-3</v>
      </c>
      <c r="H35">
        <f>RESULTADOS_R!$T$4+(RESULTADOS_R!$T$5*C34)+(RESULTADOS_R!$T$6*C33)+(RESULTADOS_R!$T$7*C32)+(RESULTADOS_R!$T$8*C31)</f>
        <v>2.1137549331699339E-3</v>
      </c>
      <c r="I35">
        <f t="shared" si="4"/>
        <v>-1.4024483623921421E-3</v>
      </c>
      <c r="J35" s="3"/>
      <c r="K35" t="s">
        <v>133</v>
      </c>
      <c r="L35" t="s">
        <v>33</v>
      </c>
      <c r="M35">
        <v>4.7253397217139175E-4</v>
      </c>
      <c r="N35">
        <v>1.1816839009310881E-4</v>
      </c>
      <c r="O35">
        <v>2.3637867974387808E-4</v>
      </c>
      <c r="P35">
        <v>1.1821029625431125E-4</v>
      </c>
      <c r="Q35">
        <v>-1.1814746175844509E-3</v>
      </c>
      <c r="R35">
        <v>5.9056282351830692E-4</v>
      </c>
      <c r="S35">
        <f>RESULTADOS_R!$T$9+(RESULTADOS_R!$T$10*M34)+(RESULTADOS_R!$T$11*M33)+(RESULTADOS_R!$T$12*M32)+(RESULTADOS_R!$T$13*M31)+(RESULTADOS_R!$T$14*M30)</f>
        <v>-1.379241882236093E-4</v>
      </c>
      <c r="T35">
        <f t="shared" si="6"/>
        <v>6.1045816039500102E-4</v>
      </c>
      <c r="U35" s="3"/>
      <c r="V35" t="s">
        <v>133</v>
      </c>
      <c r="W35" t="s">
        <v>33</v>
      </c>
      <c r="X35">
        <v>-8.3976269007434063E-4</v>
      </c>
      <c r="Y35">
        <v>6.5865498983259567E-3</v>
      </c>
      <c r="Z35">
        <v>-5.3627713714826976E-3</v>
      </c>
      <c r="AA35">
        <f>RESULTADOS_R!$T$15+(RESULTADOS_R!$T$16*'EV1-ER-AR'!X34)+(RESULTADOS_R!$T$17*'EV1-ER-AR'!X33)</f>
        <v>4.3951784783154944E-3</v>
      </c>
      <c r="AB35">
        <f t="shared" si="2"/>
        <v>-5.234941168389835E-3</v>
      </c>
      <c r="AC35" s="3"/>
      <c r="AD35" t="s">
        <v>133</v>
      </c>
      <c r="AE35" t="s">
        <v>33</v>
      </c>
      <c r="AF35">
        <v>7.5464262798037333E-3</v>
      </c>
      <c r="AG35">
        <f>RESULTADOS_R!$T$18</f>
        <v>4.3639999999999998E-3</v>
      </c>
      <c r="AH35">
        <f t="shared" si="0"/>
        <v>3.1824262798037335E-3</v>
      </c>
      <c r="AI35" s="3"/>
      <c r="AJ35" t="s">
        <v>133</v>
      </c>
      <c r="AK35" t="s">
        <v>33</v>
      </c>
      <c r="AL35">
        <v>4.1090600827187506E-3</v>
      </c>
      <c r="AM35">
        <v>8.8565755560018845E-4</v>
      </c>
      <c r="AN35">
        <v>-1.8939399600707096E-3</v>
      </c>
      <c r="AO35">
        <v>-6.4304069219734122E-3</v>
      </c>
      <c r="AP35">
        <v>-1.5136184164690238E-2</v>
      </c>
      <c r="AQ35">
        <f>RESULTADOS_R!$T$19+(RESULTADOS_R!$T$20*AL34)+(RESULTADOS_R!$T$21*AL33)+(RESULTADOS_R!$T$22*AL32)+(RESULTADOS_R!$T$23*AL31)</f>
        <v>5.4820705401281526E-4</v>
      </c>
      <c r="AR35">
        <f t="shared" si="5"/>
        <v>3.5608530287059353E-3</v>
      </c>
      <c r="AS35" s="3"/>
      <c r="AT35" t="s">
        <v>133</v>
      </c>
      <c r="AU35" t="s">
        <v>33</v>
      </c>
      <c r="AV35">
        <v>1.06444861105311E-2</v>
      </c>
      <c r="AW35">
        <v>-4.8411268371322449E-3</v>
      </c>
      <c r="AX35">
        <v>3.5244474191642597E-3</v>
      </c>
      <c r="AY35">
        <f>RESULTADOS_R!$T$24+(RESULTADOS_R!$T$25*AV34)+(RESULTADOS_R!$T$26*AV33)</f>
        <v>7.1720444606236601E-4</v>
      </c>
      <c r="AZ35">
        <f t="shared" si="3"/>
        <v>9.9272816644687331E-3</v>
      </c>
      <c r="BA35" s="3"/>
      <c r="BB35" t="s">
        <v>133</v>
      </c>
      <c r="BC35" t="s">
        <v>33</v>
      </c>
      <c r="BD35">
        <v>6.5079674051382434E-4</v>
      </c>
      <c r="BE35">
        <v>1.1093640614805635E-3</v>
      </c>
      <c r="BF35">
        <f>RESULTADOS_R!$T$27+(RESULTADOS_R!$T$28*BD34)</f>
        <v>2.773345010416195E-4</v>
      </c>
      <c r="BG35">
        <f t="shared" si="1"/>
        <v>3.7346223947220484E-4</v>
      </c>
    </row>
    <row r="36" spans="1:59" x14ac:dyDescent="0.25">
      <c r="A36" t="s">
        <v>133</v>
      </c>
      <c r="B36" t="s">
        <v>34</v>
      </c>
      <c r="C36">
        <v>8.3998324972503209E-4</v>
      </c>
      <c r="D36">
        <v>7.1130657077779177E-4</v>
      </c>
      <c r="E36">
        <v>1.5537000600742981E-3</v>
      </c>
      <c r="F36">
        <v>-1.9740787304309412E-3</v>
      </c>
      <c r="G36">
        <v>2.5573391727461495E-3</v>
      </c>
      <c r="H36">
        <f>RESULTADOS_R!$T$4+(RESULTADOS_R!$T$5*C35)+(RESULTADOS_R!$T$6*C34)+(RESULTADOS_R!$T$7*C33)+(RESULTADOS_R!$T$8*C32)</f>
        <v>2.7769414574018028E-3</v>
      </c>
      <c r="I36">
        <f t="shared" si="4"/>
        <v>-1.9369582076767707E-3</v>
      </c>
      <c r="J36" s="3"/>
      <c r="K36" t="s">
        <v>133</v>
      </c>
      <c r="L36" t="s">
        <v>34</v>
      </c>
      <c r="M36">
        <v>9.4439860637387791E-4</v>
      </c>
      <c r="N36">
        <v>4.7253397217139175E-4</v>
      </c>
      <c r="O36">
        <v>1.1816839009310881E-4</v>
      </c>
      <c r="P36">
        <v>2.3637867974387808E-4</v>
      </c>
      <c r="Q36">
        <v>1.1821029625431125E-4</v>
      </c>
      <c r="R36">
        <v>-1.1814746175844509E-3</v>
      </c>
      <c r="S36">
        <f>RESULTADOS_R!$T$9+(RESULTADOS_R!$T$10*M35)+(RESULTADOS_R!$T$11*M34)+(RESULTADOS_R!$T$12*M33)+(RESULTADOS_R!$T$13*M32)+(RESULTADOS_R!$T$14*M31)</f>
        <v>1.4014006259834358E-5</v>
      </c>
      <c r="T36">
        <f t="shared" si="6"/>
        <v>9.3038460011404356E-4</v>
      </c>
      <c r="U36" s="3"/>
      <c r="V36" t="s">
        <v>133</v>
      </c>
      <c r="W36" t="s">
        <v>34</v>
      </c>
      <c r="X36">
        <v>-1.1437147021908359E-2</v>
      </c>
      <c r="Y36">
        <v>-8.3976269007434063E-4</v>
      </c>
      <c r="Z36">
        <v>6.5865498983259567E-3</v>
      </c>
      <c r="AA36">
        <f>RESULTADOS_R!$T$15+(RESULTADOS_R!$T$16*'EV1-ER-AR'!X35)+(RESULTADOS_R!$T$17*'EV1-ER-AR'!X34)</f>
        <v>-3.7662033577704358E-5</v>
      </c>
      <c r="AB36">
        <f t="shared" si="2"/>
        <v>-1.1399484988330655E-2</v>
      </c>
      <c r="AC36" s="3"/>
      <c r="AD36" t="s">
        <v>133</v>
      </c>
      <c r="AE36" t="s">
        <v>34</v>
      </c>
      <c r="AF36">
        <v>-1.2072604542443511E-2</v>
      </c>
      <c r="AG36">
        <f>RESULTADOS_R!$T$18</f>
        <v>4.3639999999999998E-3</v>
      </c>
      <c r="AH36">
        <f t="shared" si="0"/>
        <v>-1.6436604542443511E-2</v>
      </c>
      <c r="AI36" s="3"/>
      <c r="AJ36" t="s">
        <v>133</v>
      </c>
      <c r="AK36" t="s">
        <v>34</v>
      </c>
      <c r="AL36">
        <v>5.4594105725122022E-3</v>
      </c>
      <c r="AM36">
        <v>4.1090600827187506E-3</v>
      </c>
      <c r="AN36">
        <v>8.8565755560018845E-4</v>
      </c>
      <c r="AO36">
        <v>-1.8939399600707096E-3</v>
      </c>
      <c r="AP36">
        <v>-6.4304069219734122E-3</v>
      </c>
      <c r="AQ36">
        <f>RESULTADOS_R!$T$19+(RESULTADOS_R!$T$20*AL35)+(RESULTADOS_R!$T$21*AL34)+(RESULTADOS_R!$T$22*AL33)+(RESULTADOS_R!$T$23*AL32)</f>
        <v>8.7049811796983327E-4</v>
      </c>
      <c r="AR36">
        <f t="shared" si="5"/>
        <v>4.5889124545423687E-3</v>
      </c>
      <c r="AS36" s="3"/>
      <c r="AT36" t="s">
        <v>133</v>
      </c>
      <c r="AU36" t="s">
        <v>34</v>
      </c>
      <c r="AV36">
        <v>3.4682694319642382E-3</v>
      </c>
      <c r="AW36">
        <v>1.06444861105311E-2</v>
      </c>
      <c r="AX36">
        <v>-4.8411268371322449E-3</v>
      </c>
      <c r="AY36">
        <f>RESULTADOS_R!$T$24+(RESULTADOS_R!$T$25*AV35)+(RESULTADOS_R!$T$26*AV34)</f>
        <v>7.8214556834147343E-4</v>
      </c>
      <c r="AZ36">
        <f t="shared" si="3"/>
        <v>2.6861238636227648E-3</v>
      </c>
      <c r="BA36" s="3"/>
      <c r="BB36" t="s">
        <v>133</v>
      </c>
      <c r="BC36" t="s">
        <v>34</v>
      </c>
      <c r="BD36">
        <v>-2.1370138795895129E-3</v>
      </c>
      <c r="BE36">
        <v>6.5079674051382434E-4</v>
      </c>
      <c r="BF36">
        <f>RESULTADOS_R!$T$27+(RESULTADOS_R!$T$28*BD35)</f>
        <v>1.8983206926948833E-4</v>
      </c>
      <c r="BG36">
        <f t="shared" si="1"/>
        <v>-2.326845948859001E-3</v>
      </c>
    </row>
    <row r="37" spans="1:59" x14ac:dyDescent="0.25">
      <c r="A37" t="s">
        <v>133</v>
      </c>
      <c r="B37" t="s">
        <v>35</v>
      </c>
      <c r="C37">
        <v>7.6885099913611673E-3</v>
      </c>
      <c r="D37">
        <v>8.3998324972503209E-4</v>
      </c>
      <c r="E37">
        <v>7.1130657077779177E-4</v>
      </c>
      <c r="F37">
        <v>1.5537000600742981E-3</v>
      </c>
      <c r="G37">
        <v>-1.9740787304309412E-3</v>
      </c>
      <c r="H37">
        <f>RESULTADOS_R!$T$4+(RESULTADOS_R!$T$5*C36)+(RESULTADOS_R!$T$6*C35)+(RESULTADOS_R!$T$7*C34)+(RESULTADOS_R!$T$8*C33)</f>
        <v>1.1047743820513946E-3</v>
      </c>
      <c r="I37">
        <f t="shared" si="4"/>
        <v>6.5837356093097731E-3</v>
      </c>
      <c r="J37" s="3"/>
      <c r="K37" t="s">
        <v>133</v>
      </c>
      <c r="L37" t="s">
        <v>35</v>
      </c>
      <c r="M37">
        <v>-3.5404496740868043E-4</v>
      </c>
      <c r="N37">
        <v>9.4439860637387791E-4</v>
      </c>
      <c r="O37">
        <v>4.7253397217139175E-4</v>
      </c>
      <c r="P37">
        <v>1.1816839009310881E-4</v>
      </c>
      <c r="Q37">
        <v>2.3637867974387808E-4</v>
      </c>
      <c r="R37">
        <v>1.1821029625431125E-4</v>
      </c>
      <c r="S37">
        <f>RESULTADOS_R!$T$9+(RESULTADOS_R!$T$10*M36)+(RESULTADOS_R!$T$11*M35)+(RESULTADOS_R!$T$12*M34)+(RESULTADOS_R!$T$13*M33)+(RESULTADOS_R!$T$14*M32)</f>
        <v>-1.3644479875737534E-4</v>
      </c>
      <c r="T37">
        <f t="shared" si="6"/>
        <v>-2.1760016865130508E-4</v>
      </c>
      <c r="U37" s="3"/>
      <c r="V37" t="s">
        <v>133</v>
      </c>
      <c r="W37" t="s">
        <v>35</v>
      </c>
      <c r="X37">
        <v>-2.5129460519620648E-2</v>
      </c>
      <c r="Y37">
        <v>-1.1437147021908359E-2</v>
      </c>
      <c r="Z37">
        <v>-8.3976269007434063E-4</v>
      </c>
      <c r="AA37">
        <f>RESULTADOS_R!$T$15+(RESULTADOS_R!$T$16*'EV1-ER-AR'!X36)+(RESULTADOS_R!$T$17*'EV1-ER-AR'!X35)</f>
        <v>-8.6770611490519787E-4</v>
      </c>
      <c r="AB37">
        <f t="shared" si="2"/>
        <v>-2.4261754404715449E-2</v>
      </c>
      <c r="AC37" s="3"/>
      <c r="AD37" t="s">
        <v>133</v>
      </c>
      <c r="AE37" t="s">
        <v>35</v>
      </c>
      <c r="AF37">
        <v>-2.9896599925510321E-2</v>
      </c>
      <c r="AG37">
        <f>RESULTADOS_R!$T$18</f>
        <v>4.3639999999999998E-3</v>
      </c>
      <c r="AH37">
        <f t="shared" si="0"/>
        <v>-3.4260599925510324E-2</v>
      </c>
      <c r="AI37" s="3"/>
      <c r="AJ37" t="s">
        <v>133</v>
      </c>
      <c r="AK37" t="s">
        <v>35</v>
      </c>
      <c r="AL37">
        <v>-2.6067115424984757E-3</v>
      </c>
      <c r="AM37">
        <v>5.4594105725122022E-3</v>
      </c>
      <c r="AN37">
        <v>4.1090600827187506E-3</v>
      </c>
      <c r="AO37">
        <v>8.8565755560018845E-4</v>
      </c>
      <c r="AP37">
        <v>-1.8939399600707096E-3</v>
      </c>
      <c r="AQ37">
        <f>RESULTADOS_R!$T$19+(RESULTADOS_R!$T$20*AL36)+(RESULTADOS_R!$T$21*AL35)+(RESULTADOS_R!$T$22*AL34)+(RESULTADOS_R!$T$23*AL33)</f>
        <v>1.0156690156827601E-3</v>
      </c>
      <c r="AR37">
        <f t="shared" si="5"/>
        <v>-3.6223805581812357E-3</v>
      </c>
      <c r="AS37" s="3"/>
      <c r="AT37" t="s">
        <v>133</v>
      </c>
      <c r="AU37" t="s">
        <v>35</v>
      </c>
      <c r="AV37">
        <v>-3.7278426714209365E-3</v>
      </c>
      <c r="AW37">
        <v>3.4682694319642382E-3</v>
      </c>
      <c r="AX37">
        <v>1.06444861105311E-2</v>
      </c>
      <c r="AY37">
        <f>RESULTADOS_R!$T$24+(RESULTADOS_R!$T$25*AV36)+(RESULTADOS_R!$T$26*AV35)</f>
        <v>-4.1361780708684432E-4</v>
      </c>
      <c r="AZ37">
        <f t="shared" si="3"/>
        <v>-3.3142248643340923E-3</v>
      </c>
      <c r="BA37" s="3"/>
      <c r="BB37" t="s">
        <v>133</v>
      </c>
      <c r="BC37" t="s">
        <v>35</v>
      </c>
      <c r="BD37">
        <v>-1.6720877459479987E-3</v>
      </c>
      <c r="BE37">
        <v>-2.1370138795895129E-3</v>
      </c>
      <c r="BF37">
        <f>RESULTADOS_R!$T$27+(RESULTADOS_R!$T$28*BD36)</f>
        <v>-3.4212953685836835E-4</v>
      </c>
      <c r="BG37">
        <f t="shared" si="1"/>
        <v>-1.3299582090896304E-3</v>
      </c>
    </row>
    <row r="38" spans="1:59" x14ac:dyDescent="0.25">
      <c r="A38" t="s">
        <v>133</v>
      </c>
      <c r="B38" t="s">
        <v>36</v>
      </c>
      <c r="C38">
        <v>4.8057670127963216E-4</v>
      </c>
      <c r="D38">
        <v>7.6885099913611673E-3</v>
      </c>
      <c r="E38">
        <v>8.3998324972503209E-4</v>
      </c>
      <c r="F38">
        <v>7.1130657077779177E-4</v>
      </c>
      <c r="G38">
        <v>1.5537000600742981E-3</v>
      </c>
      <c r="H38">
        <f>RESULTADOS_R!$T$4+(RESULTADOS_R!$T$5*C37)+(RESULTADOS_R!$T$6*C36)+(RESULTADOS_R!$T$7*C35)+(RESULTADOS_R!$T$8*C34)</f>
        <v>1.2523889069965695E-3</v>
      </c>
      <c r="I38">
        <f t="shared" si="4"/>
        <v>-7.7181220571693738E-4</v>
      </c>
      <c r="J38" s="3"/>
      <c r="K38" t="s">
        <v>133</v>
      </c>
      <c r="L38" t="s">
        <v>36</v>
      </c>
      <c r="M38">
        <v>4.720321069474027E-4</v>
      </c>
      <c r="N38">
        <v>-3.5404496740868043E-4</v>
      </c>
      <c r="O38">
        <v>9.4439860637387791E-4</v>
      </c>
      <c r="P38">
        <v>4.7253397217139175E-4</v>
      </c>
      <c r="Q38">
        <v>1.1816839009310881E-4</v>
      </c>
      <c r="R38">
        <v>2.3637867974387808E-4</v>
      </c>
      <c r="S38">
        <f>RESULTADOS_R!$T$9+(RESULTADOS_R!$T$10*M37)+(RESULTADOS_R!$T$11*M36)+(RESULTADOS_R!$T$12*M35)+(RESULTADOS_R!$T$13*M34)+(RESULTADOS_R!$T$14*M33)</f>
        <v>-3.3916149837684054E-5</v>
      </c>
      <c r="T38">
        <f t="shared" si="6"/>
        <v>5.0594825678508678E-4</v>
      </c>
      <c r="U38" s="3"/>
      <c r="V38" t="s">
        <v>133</v>
      </c>
      <c r="W38" t="s">
        <v>36</v>
      </c>
      <c r="X38">
        <v>-2.1749920627584206E-2</v>
      </c>
      <c r="Y38">
        <v>-2.5129460519620648E-2</v>
      </c>
      <c r="Z38">
        <v>-1.1437147021908359E-2</v>
      </c>
      <c r="AA38">
        <f>RESULTADOS_R!$T$15+(RESULTADOS_R!$T$16*'EV1-ER-AR'!X37)+(RESULTADOS_R!$T$17*'EV1-ER-AR'!X36)</f>
        <v>-1.7151450883425316E-3</v>
      </c>
      <c r="AB38">
        <f t="shared" si="2"/>
        <v>-2.0034775539241673E-2</v>
      </c>
      <c r="AC38" s="3"/>
      <c r="AD38" t="s">
        <v>133</v>
      </c>
      <c r="AE38" t="s">
        <v>36</v>
      </c>
      <c r="AF38">
        <v>2.1282798561683171E-4</v>
      </c>
      <c r="AG38">
        <f>RESULTADOS_R!$T$18</f>
        <v>4.3639999999999998E-3</v>
      </c>
      <c r="AH38">
        <f t="shared" si="0"/>
        <v>-4.1511720143831681E-3</v>
      </c>
      <c r="AI38" s="3"/>
      <c r="AJ38" t="s">
        <v>133</v>
      </c>
      <c r="AK38" t="s">
        <v>36</v>
      </c>
      <c r="AL38">
        <v>2.3687822063884496E-3</v>
      </c>
      <c r="AM38">
        <v>-2.6067115424984757E-3</v>
      </c>
      <c r="AN38">
        <v>5.4594105725122022E-3</v>
      </c>
      <c r="AO38">
        <v>4.1090600827187506E-3</v>
      </c>
      <c r="AP38">
        <v>8.8565755560018845E-4</v>
      </c>
      <c r="AQ38">
        <f>RESULTADOS_R!$T$19+(RESULTADOS_R!$T$20*AL37)+(RESULTADOS_R!$T$21*AL36)+(RESULTADOS_R!$T$22*AL35)+(RESULTADOS_R!$T$23*AL34)</f>
        <v>1.1905500239917253E-4</v>
      </c>
      <c r="AR38">
        <f t="shared" si="5"/>
        <v>2.2497272039892768E-3</v>
      </c>
      <c r="AS38" s="3"/>
      <c r="AT38" t="s">
        <v>133</v>
      </c>
      <c r="AU38" t="s">
        <v>36</v>
      </c>
      <c r="AV38">
        <v>4.2567411058698464E-3</v>
      </c>
      <c r="AW38">
        <v>-3.7278426714209365E-3</v>
      </c>
      <c r="AX38">
        <v>3.4682694319642382E-3</v>
      </c>
      <c r="AY38">
        <f>RESULTADOS_R!$T$24+(RESULTADOS_R!$T$25*AV37)+(RESULTADOS_R!$T$26*AV36)</f>
        <v>6.6712516116279889E-4</v>
      </c>
      <c r="AZ38">
        <f t="shared" si="3"/>
        <v>3.5896159447070474E-3</v>
      </c>
      <c r="BA38" s="3"/>
      <c r="BB38" t="s">
        <v>133</v>
      </c>
      <c r="BC38" t="s">
        <v>36</v>
      </c>
      <c r="BD38">
        <v>-2.0940490713265941E-3</v>
      </c>
      <c r="BE38">
        <v>-1.6720877459479987E-3</v>
      </c>
      <c r="BF38">
        <f>RESULTADOS_R!$T$27+(RESULTADOS_R!$T$28*BD37)</f>
        <v>-2.5341373564889214E-4</v>
      </c>
      <c r="BG38">
        <f t="shared" si="1"/>
        <v>-1.840635335677702E-3</v>
      </c>
    </row>
    <row r="39" spans="1:59" x14ac:dyDescent="0.25">
      <c r="A39" t="s">
        <v>133</v>
      </c>
      <c r="B39" t="s">
        <v>37</v>
      </c>
      <c r="C39">
        <v>-5.7671976222840838E-4</v>
      </c>
      <c r="D39">
        <v>4.8057670127963216E-4</v>
      </c>
      <c r="E39">
        <v>7.6885099913611673E-3</v>
      </c>
      <c r="F39">
        <v>8.3998324972503209E-4</v>
      </c>
      <c r="G39">
        <v>7.1130657077779177E-4</v>
      </c>
      <c r="H39">
        <f>RESULTADOS_R!$T$4+(RESULTADOS_R!$T$5*C38)+(RESULTADOS_R!$T$6*C37)+(RESULTADOS_R!$T$7*C36)+(RESULTADOS_R!$T$8*C35)</f>
        <v>6.9856435662425621E-4</v>
      </c>
      <c r="I39">
        <f t="shared" si="4"/>
        <v>-1.2752841188526645E-3</v>
      </c>
      <c r="J39" s="3"/>
      <c r="K39" t="s">
        <v>133</v>
      </c>
      <c r="L39" t="s">
        <v>37</v>
      </c>
      <c r="M39">
        <v>-1.179871395387645E-4</v>
      </c>
      <c r="N39">
        <v>4.720321069474027E-4</v>
      </c>
      <c r="O39">
        <v>-3.5404496740868043E-4</v>
      </c>
      <c r="P39">
        <v>9.4439860637387791E-4</v>
      </c>
      <c r="Q39">
        <v>4.7253397217139175E-4</v>
      </c>
      <c r="R39">
        <v>1.1816839009310881E-4</v>
      </c>
      <c r="S39">
        <f>RESULTADOS_R!$T$9+(RESULTADOS_R!$T$10*M38)+(RESULTADOS_R!$T$11*M37)+(RESULTADOS_R!$T$12*M36)+(RESULTADOS_R!$T$13*M35)+(RESULTADOS_R!$T$14*M34)</f>
        <v>-2.3624174050984126E-4</v>
      </c>
      <c r="T39">
        <f t="shared" si="6"/>
        <v>1.1825460097107676E-4</v>
      </c>
      <c r="U39" s="3"/>
      <c r="V39" t="s">
        <v>133</v>
      </c>
      <c r="W39" t="s">
        <v>37</v>
      </c>
      <c r="X39">
        <v>-1.2490306865641692E-2</v>
      </c>
      <c r="Y39">
        <v>-2.1749920627584206E-2</v>
      </c>
      <c r="Z39">
        <v>-2.5129460519620648E-2</v>
      </c>
      <c r="AA39">
        <f>RESULTADOS_R!$T$15+(RESULTADOS_R!$T$16*'EV1-ER-AR'!X38)+(RESULTADOS_R!$T$17*'EV1-ER-AR'!X37)</f>
        <v>2.1553695243069788E-3</v>
      </c>
      <c r="AB39">
        <f t="shared" si="2"/>
        <v>-1.464567638994867E-2</v>
      </c>
      <c r="AC39" s="3"/>
      <c r="AD39" t="s">
        <v>133</v>
      </c>
      <c r="AE39" t="s">
        <v>37</v>
      </c>
      <c r="AF39">
        <v>-1.7340815169098106E-2</v>
      </c>
      <c r="AG39">
        <f>RESULTADOS_R!$T$18</f>
        <v>4.3639999999999998E-3</v>
      </c>
      <c r="AH39">
        <f t="shared" si="0"/>
        <v>-2.1704815169098106E-2</v>
      </c>
      <c r="AI39" s="3"/>
      <c r="AJ39" t="s">
        <v>133</v>
      </c>
      <c r="AK39" t="s">
        <v>37</v>
      </c>
      <c r="AL39">
        <v>1.0396741931944309E-3</v>
      </c>
      <c r="AM39">
        <v>2.3687822063884496E-3</v>
      </c>
      <c r="AN39">
        <v>-2.6067115424984757E-3</v>
      </c>
      <c r="AO39">
        <v>5.4594105725122022E-3</v>
      </c>
      <c r="AP39">
        <v>4.1090600827187506E-3</v>
      </c>
      <c r="AQ39">
        <f>RESULTADOS_R!$T$19+(RESULTADOS_R!$T$20*AL38)+(RESULTADOS_R!$T$21*AL37)+(RESULTADOS_R!$T$22*AL36)+(RESULTADOS_R!$T$23*AL35)</f>
        <v>1.7006813127481843E-4</v>
      </c>
      <c r="AR39">
        <f t="shared" si="5"/>
        <v>8.6960606191961243E-4</v>
      </c>
      <c r="AS39" s="3"/>
      <c r="AT39" t="s">
        <v>133</v>
      </c>
      <c r="AU39" t="s">
        <v>37</v>
      </c>
      <c r="AV39">
        <v>6.7219664762455875E-3</v>
      </c>
      <c r="AW39">
        <v>4.2567411058698464E-3</v>
      </c>
      <c r="AX39">
        <v>-3.7278426714209365E-3</v>
      </c>
      <c r="AY39">
        <f>RESULTADOS_R!$T$24+(RESULTADOS_R!$T$25*AV38)+(RESULTADOS_R!$T$26*AV37)</f>
        <v>9.9006747781453302E-4</v>
      </c>
      <c r="AZ39">
        <f t="shared" si="3"/>
        <v>5.731898998431054E-3</v>
      </c>
      <c r="BA39" s="3"/>
      <c r="BB39" t="s">
        <v>133</v>
      </c>
      <c r="BC39" t="s">
        <v>37</v>
      </c>
      <c r="BD39">
        <v>6.3378484104643679E-4</v>
      </c>
      <c r="BE39">
        <v>-2.0940490713265941E-3</v>
      </c>
      <c r="BF39">
        <f>RESULTADOS_R!$T$27+(RESULTADOS_R!$T$28*BD38)</f>
        <v>-3.3393112185639437E-4</v>
      </c>
      <c r="BG39">
        <f t="shared" si="1"/>
        <v>9.6771596290283111E-4</v>
      </c>
    </row>
    <row r="40" spans="1:59" x14ac:dyDescent="0.25">
      <c r="A40" t="s">
        <v>133</v>
      </c>
      <c r="B40" t="s">
        <v>38</v>
      </c>
      <c r="C40">
        <v>-3.7568076037567473E-3</v>
      </c>
      <c r="D40">
        <v>-5.7671976222840838E-4</v>
      </c>
      <c r="E40">
        <v>4.8057670127963216E-4</v>
      </c>
      <c r="F40">
        <v>7.6885099913611673E-3</v>
      </c>
      <c r="G40">
        <v>8.3998324972503209E-4</v>
      </c>
      <c r="H40">
        <f>RESULTADOS_R!$T$4+(RESULTADOS_R!$T$5*C39)+(RESULTADOS_R!$T$6*C38)+(RESULTADOS_R!$T$7*C37)+(RESULTADOS_R!$T$8*C36)</f>
        <v>2.2977945316656739E-4</v>
      </c>
      <c r="I40">
        <f t="shared" si="4"/>
        <v>-3.9865870569233148E-3</v>
      </c>
      <c r="J40" s="3"/>
      <c r="K40" t="s">
        <v>133</v>
      </c>
      <c r="L40" t="s">
        <v>38</v>
      </c>
      <c r="M40">
        <v>4.7186505535207446E-4</v>
      </c>
      <c r="N40">
        <v>-1.179871395387645E-4</v>
      </c>
      <c r="O40">
        <v>4.720321069474027E-4</v>
      </c>
      <c r="P40">
        <v>-3.5404496740868043E-4</v>
      </c>
      <c r="Q40">
        <v>9.4439860637387791E-4</v>
      </c>
      <c r="R40">
        <v>4.7253397217139175E-4</v>
      </c>
      <c r="S40">
        <f>RESULTADOS_R!$T$9+(RESULTADOS_R!$T$10*M39)+(RESULTADOS_R!$T$11*M38)+(RESULTADOS_R!$T$12*M37)+(RESULTADOS_R!$T$13*M36)+(RESULTADOS_R!$T$14*M35)</f>
        <v>7.2380420250016137E-5</v>
      </c>
      <c r="T40">
        <f t="shared" si="6"/>
        <v>3.9948463510205832E-4</v>
      </c>
      <c r="U40" s="3"/>
      <c r="V40" t="s">
        <v>133</v>
      </c>
      <c r="W40" t="s">
        <v>38</v>
      </c>
      <c r="X40">
        <v>-2.2039099517021186E-2</v>
      </c>
      <c r="Y40">
        <v>-1.2490306865641692E-2</v>
      </c>
      <c r="Z40">
        <v>-2.1749920627584206E-2</v>
      </c>
      <c r="AA40">
        <f>RESULTADOS_R!$T$15+(RESULTADOS_R!$T$16*'EV1-ER-AR'!X39)+(RESULTADOS_R!$T$17*'EV1-ER-AR'!X38)</f>
        <v>3.5787116848242885E-3</v>
      </c>
      <c r="AB40">
        <f t="shared" si="2"/>
        <v>-2.5617811201845475E-2</v>
      </c>
      <c r="AC40" s="3"/>
      <c r="AD40" t="s">
        <v>133</v>
      </c>
      <c r="AE40" t="s">
        <v>38</v>
      </c>
      <c r="AF40">
        <v>-9.9515633147079317E-3</v>
      </c>
      <c r="AG40">
        <f>RESULTADOS_R!$T$18</f>
        <v>4.3639999999999998E-3</v>
      </c>
      <c r="AH40">
        <f t="shared" si="0"/>
        <v>-1.4315563314707931E-2</v>
      </c>
      <c r="AI40" s="3"/>
      <c r="AJ40" t="s">
        <v>133</v>
      </c>
      <c r="AK40" t="s">
        <v>38</v>
      </c>
      <c r="AL40">
        <v>-7.677595727092751E-4</v>
      </c>
      <c r="AM40">
        <v>1.0396741931944309E-3</v>
      </c>
      <c r="AN40">
        <v>2.3687822063884496E-3</v>
      </c>
      <c r="AO40">
        <v>-2.6067115424984757E-3</v>
      </c>
      <c r="AP40">
        <v>5.4594105725122022E-3</v>
      </c>
      <c r="AQ40">
        <f>RESULTADOS_R!$T$19+(RESULTADOS_R!$T$20*AL39)+(RESULTADOS_R!$T$21*AL38)+(RESULTADOS_R!$T$22*AL37)+(RESULTADOS_R!$T$23*AL36)</f>
        <v>1.9571509033861536E-3</v>
      </c>
      <c r="AR40">
        <f t="shared" si="5"/>
        <v>-2.7249104760954288E-3</v>
      </c>
      <c r="AS40" s="3"/>
      <c r="AT40" t="s">
        <v>133</v>
      </c>
      <c r="AU40" t="s">
        <v>38</v>
      </c>
      <c r="AV40">
        <v>-3.3852996605319622E-4</v>
      </c>
      <c r="AW40">
        <v>6.7219664762455875E-3</v>
      </c>
      <c r="AX40">
        <v>4.2567411058698464E-3</v>
      </c>
      <c r="AY40">
        <f>RESULTADOS_R!$T$24+(RESULTADOS_R!$T$25*AV39)+(RESULTADOS_R!$T$26*AV38)</f>
        <v>6.4937376047804758E-5</v>
      </c>
      <c r="AZ40">
        <f t="shared" si="3"/>
        <v>-4.0346734210100097E-4</v>
      </c>
      <c r="BA40" s="3"/>
      <c r="BB40" t="s">
        <v>133</v>
      </c>
      <c r="BC40" t="s">
        <v>38</v>
      </c>
      <c r="BD40">
        <v>7.9677209384039645E-4</v>
      </c>
      <c r="BE40">
        <v>6.3378484104643679E-4</v>
      </c>
      <c r="BF40">
        <f>RESULTADOS_R!$T$27+(RESULTADOS_R!$T$28*BD39)</f>
        <v>1.8658590997204595E-4</v>
      </c>
      <c r="BG40">
        <f t="shared" si="1"/>
        <v>6.1018618386835053E-4</v>
      </c>
    </row>
    <row r="41" spans="1:59" x14ac:dyDescent="0.25">
      <c r="A41" t="s">
        <v>133</v>
      </c>
      <c r="B41" t="s">
        <v>39</v>
      </c>
      <c r="C41">
        <v>-1.6097878556848319E-3</v>
      </c>
      <c r="D41">
        <v>-3.7568076037567473E-3</v>
      </c>
      <c r="E41">
        <v>-5.7671976222840838E-4</v>
      </c>
      <c r="F41">
        <v>4.8057670127963216E-4</v>
      </c>
      <c r="G41">
        <v>7.6885099913611673E-3</v>
      </c>
      <c r="H41">
        <f>RESULTADOS_R!$T$4+(RESULTADOS_R!$T$5*C40)+(RESULTADOS_R!$T$6*C39)+(RESULTADOS_R!$T$7*C38)+(RESULTADOS_R!$T$8*C37)</f>
        <v>3.9511173428323151E-3</v>
      </c>
      <c r="I41">
        <f t="shared" si="4"/>
        <v>-5.5609051985171468E-3</v>
      </c>
      <c r="J41" s="3"/>
      <c r="K41" t="s">
        <v>133</v>
      </c>
      <c r="L41" t="s">
        <v>39</v>
      </c>
      <c r="M41">
        <v>-4.7186505535209397E-4</v>
      </c>
      <c r="N41">
        <v>4.7186505535207446E-4</v>
      </c>
      <c r="O41">
        <v>-1.179871395387645E-4</v>
      </c>
      <c r="P41">
        <v>4.720321069474027E-4</v>
      </c>
      <c r="Q41">
        <v>-3.5404496740868043E-4</v>
      </c>
      <c r="R41">
        <v>9.4439860637387791E-4</v>
      </c>
      <c r="S41">
        <f>RESULTADOS_R!$T$9+(RESULTADOS_R!$T$10*M40)+(RESULTADOS_R!$T$11*M39)+(RESULTADOS_R!$T$12*M38)+(RESULTADOS_R!$T$13*M37)+(RESULTADOS_R!$T$14*M36)</f>
        <v>-2.5851359601095926E-4</v>
      </c>
      <c r="T41">
        <f t="shared" si="6"/>
        <v>-2.1335145934113471E-4</v>
      </c>
      <c r="U41" s="3"/>
      <c r="V41" t="s">
        <v>133</v>
      </c>
      <c r="W41" t="s">
        <v>39</v>
      </c>
      <c r="X41">
        <v>-4.9086797380835899E-2</v>
      </c>
      <c r="Y41">
        <v>-2.2039099517021186E-2</v>
      </c>
      <c r="Z41">
        <v>-1.2490306865641692E-2</v>
      </c>
      <c r="AA41">
        <f>RESULTADOS_R!$T$15+(RESULTADOS_R!$T$16*'EV1-ER-AR'!X40)+(RESULTADOS_R!$T$17*'EV1-ER-AR'!X39)</f>
        <v>-7.5043180955684926E-4</v>
      </c>
      <c r="AB41">
        <f t="shared" si="2"/>
        <v>-4.8336365571279051E-2</v>
      </c>
      <c r="AC41" s="3"/>
      <c r="AD41" t="s">
        <v>133</v>
      </c>
      <c r="AE41" t="s">
        <v>39</v>
      </c>
      <c r="AF41">
        <v>-8.4494251823157826E-2</v>
      </c>
      <c r="AG41">
        <f>RESULTADOS_R!$T$18</f>
        <v>4.3639999999999998E-3</v>
      </c>
      <c r="AH41">
        <f t="shared" si="0"/>
        <v>-8.8858251823157819E-2</v>
      </c>
      <c r="AI41" s="3"/>
      <c r="AJ41" t="s">
        <v>133</v>
      </c>
      <c r="AK41" t="s">
        <v>39</v>
      </c>
      <c r="AL41">
        <v>-4.6667773284052366E-3</v>
      </c>
      <c r="AM41">
        <v>-7.677595727092751E-4</v>
      </c>
      <c r="AN41">
        <v>1.0396741931944309E-3</v>
      </c>
      <c r="AO41">
        <v>2.3687822063884496E-3</v>
      </c>
      <c r="AP41">
        <v>-2.6067115424984757E-3</v>
      </c>
      <c r="AQ41">
        <f>RESULTADOS_R!$T$19+(RESULTADOS_R!$T$20*AL40)+(RESULTADOS_R!$T$21*AL39)+(RESULTADOS_R!$T$22*AL38)+(RESULTADOS_R!$T$23*AL37)</f>
        <v>5.9121501531857093E-5</v>
      </c>
      <c r="AR41">
        <f t="shared" si="5"/>
        <v>-4.725898829937094E-3</v>
      </c>
      <c r="AS41" s="3"/>
      <c r="AT41" t="s">
        <v>133</v>
      </c>
      <c r="AU41" t="s">
        <v>39</v>
      </c>
      <c r="AV41">
        <v>-1.9341518115146604E-3</v>
      </c>
      <c r="AW41">
        <v>-3.3852996605319622E-4</v>
      </c>
      <c r="AX41">
        <v>6.7219664762455875E-3</v>
      </c>
      <c r="AY41">
        <f>RESULTADOS_R!$T$24+(RESULTADOS_R!$T$25*AV40)+(RESULTADOS_R!$T$26*AV39)</f>
        <v>1.7078011733377089E-4</v>
      </c>
      <c r="AZ41">
        <f t="shared" si="3"/>
        <v>-2.1049319288484313E-3</v>
      </c>
      <c r="BA41" s="3"/>
      <c r="BB41" t="s">
        <v>133</v>
      </c>
      <c r="BC41" t="s">
        <v>39</v>
      </c>
      <c r="BD41">
        <v>6.0226514756394885E-4</v>
      </c>
      <c r="BE41">
        <v>7.9677209384039645E-4</v>
      </c>
      <c r="BF41">
        <f>RESULTADOS_R!$T$27+(RESULTADOS_R!$T$28*BD40)</f>
        <v>2.1768664549167316E-4</v>
      </c>
      <c r="BG41">
        <f t="shared" si="1"/>
        <v>3.8457850207227568E-4</v>
      </c>
    </row>
    <row r="42" spans="1:59" x14ac:dyDescent="0.25">
      <c r="A42" t="s">
        <v>133</v>
      </c>
      <c r="B42" t="s">
        <v>40</v>
      </c>
      <c r="C42">
        <v>2.1886776898222679E-3</v>
      </c>
      <c r="D42">
        <v>-1.6097878556848319E-3</v>
      </c>
      <c r="E42">
        <v>-3.7568076037567473E-3</v>
      </c>
      <c r="F42">
        <v>-5.7671976222840838E-4</v>
      </c>
      <c r="G42">
        <v>4.8057670127963216E-4</v>
      </c>
      <c r="H42">
        <f>RESULTADOS_R!$T$4+(RESULTADOS_R!$T$5*C41)+(RESULTADOS_R!$T$6*C40)+(RESULTADOS_R!$T$7*C39)+(RESULTADOS_R!$T$8*C38)</f>
        <v>3.1332923102273861E-3</v>
      </c>
      <c r="I42">
        <f t="shared" si="4"/>
        <v>-9.4461462040511821E-4</v>
      </c>
      <c r="J42" s="3"/>
      <c r="K42" t="s">
        <v>133</v>
      </c>
      <c r="L42" t="s">
        <v>40</v>
      </c>
      <c r="M42">
        <v>-1.770068152244981E-4</v>
      </c>
      <c r="N42">
        <v>-4.7186505535209397E-4</v>
      </c>
      <c r="O42">
        <v>4.7186505535207446E-4</v>
      </c>
      <c r="P42">
        <v>-1.179871395387645E-4</v>
      </c>
      <c r="Q42">
        <v>4.720321069474027E-4</v>
      </c>
      <c r="R42">
        <v>-3.5404496740868043E-4</v>
      </c>
      <c r="S42">
        <f>RESULTADOS_R!$T$9+(RESULTADOS_R!$T$10*M41)+(RESULTADOS_R!$T$11*M40)+(RESULTADOS_R!$T$12*M39)+(RESULTADOS_R!$T$13*M38)+(RESULTADOS_R!$T$14*M37)</f>
        <v>1.3919180755445496E-4</v>
      </c>
      <c r="T42">
        <f t="shared" si="6"/>
        <v>-3.1619862277895304E-4</v>
      </c>
      <c r="U42" s="3"/>
      <c r="V42" t="s">
        <v>133</v>
      </c>
      <c r="W42" t="s">
        <v>40</v>
      </c>
      <c r="X42">
        <v>-4.6352066861002801E-2</v>
      </c>
      <c r="Y42">
        <v>-4.9086797380835899E-2</v>
      </c>
      <c r="Z42">
        <v>-2.2039099517021186E-2</v>
      </c>
      <c r="AA42">
        <f>RESULTADOS_R!$T$15+(RESULTADOS_R!$T$16*'EV1-ER-AR'!X41)+(RESULTADOS_R!$T$17*'EV1-ER-AR'!X40)</f>
        <v>-4.9805830605106679E-3</v>
      </c>
      <c r="AB42">
        <f t="shared" si="2"/>
        <v>-4.1371483800492131E-2</v>
      </c>
      <c r="AC42" s="3"/>
      <c r="AD42" t="s">
        <v>133</v>
      </c>
      <c r="AE42" t="s">
        <v>40</v>
      </c>
      <c r="AF42">
        <v>-7.1852809779159879E-2</v>
      </c>
      <c r="AG42">
        <f>RESULTADOS_R!$T$18</f>
        <v>4.3639999999999998E-3</v>
      </c>
      <c r="AH42">
        <f t="shared" si="0"/>
        <v>-7.6216809779159872E-2</v>
      </c>
      <c r="AI42" s="3"/>
      <c r="AJ42" t="s">
        <v>133</v>
      </c>
      <c r="AK42" t="s">
        <v>40</v>
      </c>
      <c r="AL42">
        <v>-1.441902193653598E-3</v>
      </c>
      <c r="AM42">
        <v>-4.6667773284052366E-3</v>
      </c>
      <c r="AN42">
        <v>-7.677595727092751E-4</v>
      </c>
      <c r="AO42">
        <v>1.0396741931944309E-3</v>
      </c>
      <c r="AP42">
        <v>2.3687822063884496E-3</v>
      </c>
      <c r="AQ42">
        <f>RESULTADOS_R!$T$19+(RESULTADOS_R!$T$20*AL41)+(RESULTADOS_R!$T$21*AL40)+(RESULTADOS_R!$T$22*AL39)+(RESULTADOS_R!$T$23*AL38)</f>
        <v>4.0261987002592576E-4</v>
      </c>
      <c r="AR42">
        <f t="shared" si="5"/>
        <v>-1.8445220636795238E-3</v>
      </c>
      <c r="AS42" s="3"/>
      <c r="AT42" t="s">
        <v>133</v>
      </c>
      <c r="AU42" t="s">
        <v>40</v>
      </c>
      <c r="AV42">
        <v>-5.4485500279700524E-3</v>
      </c>
      <c r="AW42">
        <v>-1.9341518115146604E-3</v>
      </c>
      <c r="AX42">
        <v>-3.3852996605319622E-4</v>
      </c>
      <c r="AY42">
        <f>RESULTADOS_R!$T$24+(RESULTADOS_R!$T$25*AV41)+(RESULTADOS_R!$T$26*AV40)</f>
        <v>9.5959721395119928E-4</v>
      </c>
      <c r="AZ42">
        <f t="shared" si="3"/>
        <v>-6.4081472419212516E-3</v>
      </c>
      <c r="BA42" s="3"/>
      <c r="BB42" t="s">
        <v>133</v>
      </c>
      <c r="BC42" t="s">
        <v>40</v>
      </c>
      <c r="BD42">
        <v>2.8227448263341407E-3</v>
      </c>
      <c r="BE42">
        <v>6.0226514756394885E-4</v>
      </c>
      <c r="BF42">
        <f>RESULTADOS_R!$T$27+(RESULTADOS_R!$T$28*BD41)</f>
        <v>1.805714172196722E-4</v>
      </c>
      <c r="BG42">
        <f t="shared" si="1"/>
        <v>2.6421734091144687E-3</v>
      </c>
    </row>
    <row r="43" spans="1:59" x14ac:dyDescent="0.25">
      <c r="A43" t="s">
        <v>133</v>
      </c>
      <c r="B43" t="s">
        <v>41</v>
      </c>
      <c r="C43">
        <v>7.4633188080918383E-3</v>
      </c>
      <c r="D43">
        <v>2.1886776898222679E-3</v>
      </c>
      <c r="E43">
        <v>-1.6097878556848319E-3</v>
      </c>
      <c r="F43">
        <v>-3.7568076037567473E-3</v>
      </c>
      <c r="G43">
        <v>-5.7671976222840838E-4</v>
      </c>
      <c r="H43">
        <f>RESULTADOS_R!$T$4+(RESULTADOS_R!$T$5*C42)+(RESULTADOS_R!$T$6*C41)+(RESULTADOS_R!$T$7*C40)+(RESULTADOS_R!$T$8*C39)</f>
        <v>3.0029907180930578E-3</v>
      </c>
      <c r="I43">
        <f t="shared" si="4"/>
        <v>4.4603280899987805E-3</v>
      </c>
      <c r="J43" s="3"/>
      <c r="K43" t="s">
        <v>133</v>
      </c>
      <c r="L43" t="s">
        <v>41</v>
      </c>
      <c r="M43">
        <v>1.770068152244669E-4</v>
      </c>
      <c r="N43">
        <v>-1.770068152244981E-4</v>
      </c>
      <c r="O43">
        <v>-4.7186505535209397E-4</v>
      </c>
      <c r="P43">
        <v>4.7186505535207446E-4</v>
      </c>
      <c r="Q43">
        <v>-1.179871395387645E-4</v>
      </c>
      <c r="R43">
        <v>4.720321069474027E-4</v>
      </c>
      <c r="S43">
        <f>RESULTADOS_R!$T$9+(RESULTADOS_R!$T$10*M42)+(RESULTADOS_R!$T$11*M41)+(RESULTADOS_R!$T$12*M40)+(RESULTADOS_R!$T$13*M39)+(RESULTADOS_R!$T$14*M38)</f>
        <v>-1.3223558166965919E-4</v>
      </c>
      <c r="T43">
        <f t="shared" si="6"/>
        <v>3.0924239689412612E-4</v>
      </c>
      <c r="U43" s="3"/>
      <c r="V43" t="s">
        <v>133</v>
      </c>
      <c r="W43" t="s">
        <v>41</v>
      </c>
      <c r="X43">
        <v>-2.0833914497977005E-2</v>
      </c>
      <c r="Y43">
        <v>-4.6352066861002801E-2</v>
      </c>
      <c r="Z43">
        <v>-4.9086797380835899E-2</v>
      </c>
      <c r="AA43">
        <f>RESULTADOS_R!$T$15+(RESULTADOS_R!$T$16*'EV1-ER-AR'!X42)+(RESULTADOS_R!$T$17*'EV1-ER-AR'!X41)</f>
        <v>1.7364351201002715E-3</v>
      </c>
      <c r="AB43">
        <f t="shared" si="2"/>
        <v>-2.2570349618077277E-2</v>
      </c>
      <c r="AC43" s="3"/>
      <c r="AD43" t="s">
        <v>133</v>
      </c>
      <c r="AE43" t="s">
        <v>41</v>
      </c>
      <c r="AF43">
        <v>-2.5556254674114594E-2</v>
      </c>
      <c r="AG43">
        <f>RESULTADOS_R!$T$18</f>
        <v>4.3639999999999998E-3</v>
      </c>
      <c r="AH43">
        <f t="shared" si="0"/>
        <v>-2.9920254674114594E-2</v>
      </c>
      <c r="AI43" s="3"/>
      <c r="AJ43" t="s">
        <v>133</v>
      </c>
      <c r="AK43" t="s">
        <v>41</v>
      </c>
      <c r="AL43">
        <v>-5.0184182161011398E-3</v>
      </c>
      <c r="AM43">
        <v>-1.441902193653598E-3</v>
      </c>
      <c r="AN43">
        <v>-4.6667773284052366E-3</v>
      </c>
      <c r="AO43">
        <v>-7.677595727092751E-4</v>
      </c>
      <c r="AP43">
        <v>1.0396741931944309E-3</v>
      </c>
      <c r="AQ43">
        <f>RESULTADOS_R!$T$19+(RESULTADOS_R!$T$20*AL42)+(RESULTADOS_R!$T$21*AL41)+(RESULTADOS_R!$T$22*AL40)+(RESULTADOS_R!$T$23*AL39)</f>
        <v>6.8601097936128101E-4</v>
      </c>
      <c r="AR43">
        <f t="shared" si="5"/>
        <v>-5.704429195462421E-3</v>
      </c>
      <c r="AS43" s="3"/>
      <c r="AT43" t="s">
        <v>133</v>
      </c>
      <c r="AU43" t="s">
        <v>41</v>
      </c>
      <c r="AV43">
        <v>-6.1468229570687347E-3</v>
      </c>
      <c r="AW43">
        <v>-5.4485500279700524E-3</v>
      </c>
      <c r="AX43">
        <v>-1.9341518115146604E-3</v>
      </c>
      <c r="AY43">
        <f>RESULTADOS_R!$T$24+(RESULTADOS_R!$T$25*AV42)+(RESULTADOS_R!$T$26*AV41)</f>
        <v>1.2957128415019949E-3</v>
      </c>
      <c r="AZ43">
        <f t="shared" si="3"/>
        <v>-7.4425357985707296E-3</v>
      </c>
      <c r="BA43" s="3"/>
      <c r="BB43" t="s">
        <v>133</v>
      </c>
      <c r="BC43" t="s">
        <v>41</v>
      </c>
      <c r="BD43">
        <v>5.3918502982317417E-4</v>
      </c>
      <c r="BE43">
        <v>2.8227448263341407E-3</v>
      </c>
      <c r="BF43">
        <f>RESULTADOS_R!$T$27+(RESULTADOS_R!$T$28*BD42)</f>
        <v>6.0427664589444996E-4</v>
      </c>
      <c r="BG43">
        <f t="shared" si="1"/>
        <v>-6.5091616071275785E-5</v>
      </c>
    </row>
    <row r="44" spans="1:59" x14ac:dyDescent="0.25">
      <c r="A44" t="s">
        <v>133</v>
      </c>
      <c r="B44" t="s">
        <v>42</v>
      </c>
      <c r="C44">
        <v>2.1995195428139666E-3</v>
      </c>
      <c r="D44">
        <v>7.4633188080918383E-3</v>
      </c>
      <c r="E44">
        <v>2.1886776898222679E-3</v>
      </c>
      <c r="F44">
        <v>-1.6097878556848319E-3</v>
      </c>
      <c r="G44">
        <v>-3.7568076037567473E-3</v>
      </c>
      <c r="H44">
        <f>RESULTADOS_R!$T$4+(RESULTADOS_R!$T$5*C43)+(RESULTADOS_R!$T$6*C42)+(RESULTADOS_R!$T$7*C41)+(RESULTADOS_R!$T$8*C40)</f>
        <v>6.3881456629860862E-4</v>
      </c>
      <c r="I44">
        <f t="shared" si="4"/>
        <v>1.5607049765153579E-3</v>
      </c>
      <c r="J44" s="3"/>
      <c r="K44" t="s">
        <v>133</v>
      </c>
      <c r="L44" t="s">
        <v>42</v>
      </c>
      <c r="M44">
        <v>4.7186505535207446E-4</v>
      </c>
      <c r="N44">
        <v>1.770068152244669E-4</v>
      </c>
      <c r="O44">
        <v>-1.770068152244981E-4</v>
      </c>
      <c r="P44">
        <v>-4.7186505535209397E-4</v>
      </c>
      <c r="Q44">
        <v>4.7186505535207446E-4</v>
      </c>
      <c r="R44">
        <v>-1.179871395387645E-4</v>
      </c>
      <c r="S44">
        <f>RESULTADOS_R!$T$9+(RESULTADOS_R!$T$10*M43)+(RESULTADOS_R!$T$11*M42)+(RESULTADOS_R!$T$12*M41)+(RESULTADOS_R!$T$13*M40)+(RESULTADOS_R!$T$14*M39)</f>
        <v>7.4737732031570465E-5</v>
      </c>
      <c r="T44">
        <f t="shared" si="6"/>
        <v>3.9712732332050399E-4</v>
      </c>
      <c r="U44" s="3"/>
      <c r="V44" t="s">
        <v>133</v>
      </c>
      <c r="W44" t="s">
        <v>42</v>
      </c>
      <c r="X44">
        <v>1.0057853015302423E-2</v>
      </c>
      <c r="Y44">
        <v>-2.0833914497977005E-2</v>
      </c>
      <c r="Z44">
        <v>-4.6352066861002801E-2</v>
      </c>
      <c r="AA44">
        <f>RESULTADOS_R!$T$15+(RESULTADOS_R!$T$16*'EV1-ER-AR'!X43)+(RESULTADOS_R!$T$17*'EV1-ER-AR'!X42)</f>
        <v>7.1359837983145545E-3</v>
      </c>
      <c r="AB44">
        <f t="shared" si="2"/>
        <v>2.9218692169878683E-3</v>
      </c>
      <c r="AC44" s="3"/>
      <c r="AD44" t="s">
        <v>133</v>
      </c>
      <c r="AE44" t="s">
        <v>42</v>
      </c>
      <c r="AF44">
        <v>1.6846573557180413E-2</v>
      </c>
      <c r="AG44">
        <f>RESULTADOS_R!$T$18</f>
        <v>4.3639999999999998E-3</v>
      </c>
      <c r="AH44">
        <f t="shared" si="0"/>
        <v>1.2482573557180413E-2</v>
      </c>
      <c r="AI44" s="3"/>
      <c r="AJ44" t="s">
        <v>133</v>
      </c>
      <c r="AK44" t="s">
        <v>42</v>
      </c>
      <c r="AL44">
        <v>4.546444227470311E-3</v>
      </c>
      <c r="AM44">
        <v>-5.0184182161011398E-3</v>
      </c>
      <c r="AN44">
        <v>-1.441902193653598E-3</v>
      </c>
      <c r="AO44">
        <v>-4.6667773284052366E-3</v>
      </c>
      <c r="AP44">
        <v>-7.677595727092751E-4</v>
      </c>
      <c r="AQ44">
        <f>RESULTADOS_R!$T$19+(RESULTADOS_R!$T$20*AL43)+(RESULTADOS_R!$T$21*AL42)+(RESULTADOS_R!$T$22*AL41)+(RESULTADOS_R!$T$23*AL40)</f>
        <v>1.1363540296102188E-3</v>
      </c>
      <c r="AR44">
        <f t="shared" si="5"/>
        <v>3.4100901978600922E-3</v>
      </c>
      <c r="AS44" s="3"/>
      <c r="AT44" t="s">
        <v>133</v>
      </c>
      <c r="AU44" t="s">
        <v>42</v>
      </c>
      <c r="AV44">
        <v>9.903577786278539E-3</v>
      </c>
      <c r="AW44">
        <v>-6.1468229570687347E-3</v>
      </c>
      <c r="AX44">
        <v>-5.4485500279700524E-3</v>
      </c>
      <c r="AY44">
        <f>RESULTADOS_R!$T$24+(RESULTADOS_R!$T$25*AV43)+(RESULTADOS_R!$T$26*AV42)</f>
        <v>1.6835479590366952E-3</v>
      </c>
      <c r="AZ44">
        <f t="shared" si="3"/>
        <v>8.2200298272418447E-3</v>
      </c>
      <c r="BA44" s="3"/>
      <c r="BB44" t="s">
        <v>133</v>
      </c>
      <c r="BC44" t="s">
        <v>42</v>
      </c>
      <c r="BD44">
        <v>-7.2237062787668571E-4</v>
      </c>
      <c r="BE44">
        <v>5.3918502982317417E-4</v>
      </c>
      <c r="BF44">
        <f>RESULTADOS_R!$T$27+(RESULTADOS_R!$T$28*BD43)</f>
        <v>1.6853465959125306E-4</v>
      </c>
      <c r="BG44">
        <f t="shared" si="1"/>
        <v>-8.9090528746793877E-4</v>
      </c>
    </row>
    <row r="45" spans="1:59" x14ac:dyDescent="0.25">
      <c r="A45" t="s">
        <v>133</v>
      </c>
      <c r="B45" t="s">
        <v>43</v>
      </c>
      <c r="C45">
        <v>4.1626345040203664E-3</v>
      </c>
      <c r="D45">
        <v>2.1995195428139666E-3</v>
      </c>
      <c r="E45">
        <v>7.4633188080918383E-3</v>
      </c>
      <c r="F45">
        <v>2.1886776898222679E-3</v>
      </c>
      <c r="G45">
        <v>-1.6097878556848319E-3</v>
      </c>
      <c r="H45">
        <f>RESULTADOS_R!$T$4+(RESULTADOS_R!$T$5*C44)+(RESULTADOS_R!$T$6*C43)+(RESULTADOS_R!$T$7*C42)+(RESULTADOS_R!$T$8*C41)</f>
        <v>-2.4850346037522846E-4</v>
      </c>
      <c r="I45">
        <f t="shared" si="4"/>
        <v>4.4111379643955945E-3</v>
      </c>
      <c r="J45" s="3"/>
      <c r="K45" t="s">
        <v>133</v>
      </c>
      <c r="L45" t="s">
        <v>43</v>
      </c>
      <c r="M45">
        <v>-5.8986611749862724E-4</v>
      </c>
      <c r="N45">
        <v>4.7186505535207446E-4</v>
      </c>
      <c r="O45">
        <v>1.770068152244669E-4</v>
      </c>
      <c r="P45">
        <v>-1.770068152244981E-4</v>
      </c>
      <c r="Q45">
        <v>-4.7186505535209397E-4</v>
      </c>
      <c r="R45">
        <v>4.7186505535207446E-4</v>
      </c>
      <c r="S45">
        <f>RESULTADOS_R!$T$9+(RESULTADOS_R!$T$10*M44)+(RESULTADOS_R!$T$11*M43)+(RESULTADOS_R!$T$12*M42)+(RESULTADOS_R!$T$13*M41)+(RESULTADOS_R!$T$14*M40)</f>
        <v>-9.5494630613320139E-5</v>
      </c>
      <c r="T45">
        <f t="shared" si="6"/>
        <v>-4.943714868853071E-4</v>
      </c>
      <c r="U45" s="3"/>
      <c r="V45" t="s">
        <v>133</v>
      </c>
      <c r="W45" t="s">
        <v>43</v>
      </c>
      <c r="X45">
        <v>4.2486602451168087E-2</v>
      </c>
      <c r="Y45">
        <v>1.0057853015302423E-2</v>
      </c>
      <c r="Z45">
        <v>-2.0833914497977005E-2</v>
      </c>
      <c r="AA45">
        <f>RESULTADOS_R!$T$15+(RESULTADOS_R!$T$16*'EV1-ER-AR'!X44)+(RESULTADOS_R!$T$17*'EV1-ER-AR'!X43)</f>
        <v>8.6866881137114341E-3</v>
      </c>
      <c r="AB45">
        <f t="shared" si="2"/>
        <v>3.3799914337456653E-2</v>
      </c>
      <c r="AC45" s="3"/>
      <c r="AD45" t="s">
        <v>133</v>
      </c>
      <c r="AE45" t="s">
        <v>43</v>
      </c>
      <c r="AF45">
        <v>2.6795063405248631E-2</v>
      </c>
      <c r="AG45">
        <f>RESULTADOS_R!$T$18</f>
        <v>4.3639999999999998E-3</v>
      </c>
      <c r="AH45">
        <f t="shared" si="0"/>
        <v>2.2431063405248631E-2</v>
      </c>
      <c r="AI45" s="3"/>
      <c r="AJ45" t="s">
        <v>133</v>
      </c>
      <c r="AK45" t="s">
        <v>43</v>
      </c>
      <c r="AL45">
        <v>-4.9726606693783768E-3</v>
      </c>
      <c r="AM45">
        <v>4.546444227470311E-3</v>
      </c>
      <c r="AN45">
        <v>-5.0184182161011398E-3</v>
      </c>
      <c r="AO45">
        <v>-1.441902193653598E-3</v>
      </c>
      <c r="AP45">
        <v>-4.6667773284052366E-3</v>
      </c>
      <c r="AQ45">
        <f>RESULTADOS_R!$T$19+(RESULTADOS_R!$T$20*AL44)+(RESULTADOS_R!$T$21*AL43)+(RESULTADOS_R!$T$22*AL42)+(RESULTADOS_R!$T$23*AL41)</f>
        <v>7.1326757427158565E-4</v>
      </c>
      <c r="AR45">
        <f t="shared" si="5"/>
        <v>-5.6859282436499629E-3</v>
      </c>
      <c r="AS45" s="3"/>
      <c r="AT45" t="s">
        <v>133</v>
      </c>
      <c r="AU45" t="s">
        <v>43</v>
      </c>
      <c r="AV45">
        <v>-7.421424367776033E-3</v>
      </c>
      <c r="AW45">
        <v>9.903577786278539E-3</v>
      </c>
      <c r="AX45">
        <v>-6.1468229570687347E-3</v>
      </c>
      <c r="AY45">
        <f>RESULTADOS_R!$T$24+(RESULTADOS_R!$T$25*AV44)+(RESULTADOS_R!$T$26*AV43)</f>
        <v>9.5033528875942627E-4</v>
      </c>
      <c r="AZ45">
        <f t="shared" si="3"/>
        <v>-8.3717596565354591E-3</v>
      </c>
      <c r="BA45" s="3"/>
      <c r="BB45" t="s">
        <v>133</v>
      </c>
      <c r="BC45" t="s">
        <v>43</v>
      </c>
      <c r="BD45">
        <v>1.200272748384742E-3</v>
      </c>
      <c r="BE45">
        <v>-7.2237062787668571E-4</v>
      </c>
      <c r="BF45">
        <f>RESULTADOS_R!$T$27+(RESULTADOS_R!$T$28*BD44)</f>
        <v>-7.2191582374503603E-5</v>
      </c>
      <c r="BG45">
        <f t="shared" si="1"/>
        <v>1.2724643307592456E-3</v>
      </c>
    </row>
    <row r="46" spans="1:59" x14ac:dyDescent="0.25">
      <c r="A46" t="s">
        <v>133</v>
      </c>
      <c r="B46" t="s">
        <v>44</v>
      </c>
      <c r="C46">
        <v>-4.0034368598091345E-3</v>
      </c>
      <c r="D46">
        <v>4.1626345040203664E-3</v>
      </c>
      <c r="E46">
        <v>2.1995195428139666E-3</v>
      </c>
      <c r="F46">
        <v>7.4633188080918383E-3</v>
      </c>
      <c r="G46">
        <v>2.1886776898222679E-3</v>
      </c>
      <c r="H46">
        <f>RESULTADOS_R!$T$4+(RESULTADOS_R!$T$5*C45)+(RESULTADOS_R!$T$6*C44)+(RESULTADOS_R!$T$7*C43)+(RESULTADOS_R!$T$8*C42)</f>
        <v>-2.4073957544815464E-4</v>
      </c>
      <c r="I46">
        <f t="shared" si="4"/>
        <v>-3.7626972843609798E-3</v>
      </c>
      <c r="J46" s="3"/>
      <c r="K46" t="s">
        <v>133</v>
      </c>
      <c r="L46" t="s">
        <v>44</v>
      </c>
      <c r="M46">
        <v>3.5396142190107101E-4</v>
      </c>
      <c r="N46">
        <v>-5.8986611749862724E-4</v>
      </c>
      <c r="O46">
        <v>4.7186505535207446E-4</v>
      </c>
      <c r="P46">
        <v>1.770068152244669E-4</v>
      </c>
      <c r="Q46">
        <v>-1.770068152244981E-4</v>
      </c>
      <c r="R46">
        <v>-4.7186505535209397E-4</v>
      </c>
      <c r="S46">
        <f>RESULTADOS_R!$T$9+(RESULTADOS_R!$T$10*M45)+(RESULTADOS_R!$T$11*M44)+(RESULTADOS_R!$T$12*M43)+(RESULTADOS_R!$T$13*M42)+(RESULTADOS_R!$T$14*M41)</f>
        <v>9.0265852382221261E-5</v>
      </c>
      <c r="T46">
        <f t="shared" si="6"/>
        <v>2.6369556951884977E-4</v>
      </c>
      <c r="U46" s="3"/>
      <c r="V46" t="s">
        <v>133</v>
      </c>
      <c r="W46" t="s">
        <v>44</v>
      </c>
      <c r="X46">
        <v>3.0026626361812518E-2</v>
      </c>
      <c r="Y46">
        <v>4.2486602451168087E-2</v>
      </c>
      <c r="Z46">
        <v>1.0057853015302423E-2</v>
      </c>
      <c r="AA46">
        <f>RESULTADOS_R!$T$15+(RESULTADOS_R!$T$16*'EV1-ER-AR'!X45)+(RESULTADOS_R!$T$17*'EV1-ER-AR'!X44)</f>
        <v>9.3931465198103248E-3</v>
      </c>
      <c r="AB46">
        <f t="shared" si="2"/>
        <v>2.0633479842002193E-2</v>
      </c>
      <c r="AC46" s="3"/>
      <c r="AD46" t="s">
        <v>133</v>
      </c>
      <c r="AE46" t="s">
        <v>44</v>
      </c>
      <c r="AF46">
        <v>1.4878539388899423E-2</v>
      </c>
      <c r="AG46">
        <f>RESULTADOS_R!$T$18</f>
        <v>4.3639999999999998E-3</v>
      </c>
      <c r="AH46">
        <f t="shared" si="0"/>
        <v>1.0514539388899423E-2</v>
      </c>
      <c r="AI46" s="3"/>
      <c r="AJ46" t="s">
        <v>133</v>
      </c>
      <c r="AK46" t="s">
        <v>44</v>
      </c>
      <c r="AL46">
        <v>7.1596489658825192E-3</v>
      </c>
      <c r="AM46">
        <v>-4.9726606693783768E-3</v>
      </c>
      <c r="AN46">
        <v>4.546444227470311E-3</v>
      </c>
      <c r="AO46">
        <v>-5.0184182161011398E-3</v>
      </c>
      <c r="AP46">
        <v>-1.441902193653598E-3</v>
      </c>
      <c r="AQ46">
        <f>RESULTADOS_R!$T$19+(RESULTADOS_R!$T$20*AL45)+(RESULTADOS_R!$T$21*AL44)+(RESULTADOS_R!$T$22*AL43)+(RESULTADOS_R!$T$23*AL42)</f>
        <v>1.4167185349660265E-3</v>
      </c>
      <c r="AR46">
        <f t="shared" si="5"/>
        <v>5.7429304309164928E-3</v>
      </c>
      <c r="AS46" s="3"/>
      <c r="AT46" t="s">
        <v>133</v>
      </c>
      <c r="AU46" t="s">
        <v>44</v>
      </c>
      <c r="AV46">
        <v>4.6051821872504428E-3</v>
      </c>
      <c r="AW46">
        <v>-7.421424367776033E-3</v>
      </c>
      <c r="AX46">
        <v>9.903577786278539E-3</v>
      </c>
      <c r="AY46">
        <f>RESULTADOS_R!$T$24+(RESULTADOS_R!$T$25*AV45)+(RESULTADOS_R!$T$26*AV44)</f>
        <v>2.058104247898145E-4</v>
      </c>
      <c r="AZ46">
        <f t="shared" si="3"/>
        <v>4.3993717624606285E-3</v>
      </c>
      <c r="BA46" s="3"/>
      <c r="BB46" t="s">
        <v>133</v>
      </c>
      <c r="BC46" t="s">
        <v>44</v>
      </c>
      <c r="BD46">
        <v>-9.8655947953921706E-4</v>
      </c>
      <c r="BE46">
        <v>1.200272748384742E-3</v>
      </c>
      <c r="BF46">
        <f>RESULTADOS_R!$T$27+(RESULTADOS_R!$T$28*BD45)</f>
        <v>2.9468142222334909E-4</v>
      </c>
      <c r="BG46">
        <f t="shared" si="1"/>
        <v>-1.2812409017625662E-3</v>
      </c>
    </row>
    <row r="47" spans="1:59" x14ac:dyDescent="0.25">
      <c r="A47" t="s">
        <v>133</v>
      </c>
      <c r="B47" t="s">
        <v>45</v>
      </c>
      <c r="C47">
        <v>-8.6652606982309567E-3</v>
      </c>
      <c r="D47">
        <v>-4.0034368598091345E-3</v>
      </c>
      <c r="E47">
        <v>4.1626345040203664E-3</v>
      </c>
      <c r="F47">
        <v>2.1995195428139666E-3</v>
      </c>
      <c r="G47">
        <v>7.4633188080918383E-3</v>
      </c>
      <c r="H47">
        <f>RESULTADOS_R!$T$4+(RESULTADOS_R!$T$5*C46)+(RESULTADOS_R!$T$6*C45)+(RESULTADOS_R!$T$7*C44)+(RESULTADOS_R!$T$8*C43)</f>
        <v>2.703402891265738E-3</v>
      </c>
      <c r="I47">
        <f t="shared" si="4"/>
        <v>-1.1368663589496696E-2</v>
      </c>
      <c r="J47" s="3"/>
      <c r="K47" t="s">
        <v>133</v>
      </c>
      <c r="L47" t="s">
        <v>45</v>
      </c>
      <c r="M47">
        <v>-1.8892436839046118E-3</v>
      </c>
      <c r="N47">
        <v>3.5396142190107101E-4</v>
      </c>
      <c r="O47">
        <v>-5.8986611749862724E-4</v>
      </c>
      <c r="P47">
        <v>4.7186505535207446E-4</v>
      </c>
      <c r="Q47">
        <v>1.770068152244669E-4</v>
      </c>
      <c r="R47">
        <v>-1.770068152244981E-4</v>
      </c>
      <c r="S47">
        <f>RESULTADOS_R!$T$9+(RESULTADOS_R!$T$10*M46)+(RESULTADOS_R!$T$11*M45)+(RESULTADOS_R!$T$12*M44)+(RESULTADOS_R!$T$13*M43)+(RESULTADOS_R!$T$14*M42)</f>
        <v>-1.2921471921763185E-4</v>
      </c>
      <c r="T47">
        <f t="shared" si="6"/>
        <v>-1.7600289646869799E-3</v>
      </c>
      <c r="U47" s="3"/>
      <c r="V47" t="s">
        <v>133</v>
      </c>
      <c r="W47" t="s">
        <v>45</v>
      </c>
      <c r="X47">
        <v>-5.8260688154822909E-2</v>
      </c>
      <c r="Y47">
        <v>3.0026626361812518E-2</v>
      </c>
      <c r="Z47">
        <v>4.2486602451168087E-2</v>
      </c>
      <c r="AA47">
        <f>RESULTADOS_R!$T$15+(RESULTADOS_R!$T$16*'EV1-ER-AR'!X46)+(RESULTADOS_R!$T$17*'EV1-ER-AR'!X45)</f>
        <v>-8.2380988757344703E-4</v>
      </c>
      <c r="AB47">
        <f t="shared" si="2"/>
        <v>-5.7436878267249462E-2</v>
      </c>
      <c r="AC47" s="3"/>
      <c r="AD47" t="s">
        <v>133</v>
      </c>
      <c r="AE47" t="s">
        <v>45</v>
      </c>
      <c r="AF47">
        <v>-4.1042200980687622E-2</v>
      </c>
      <c r="AG47">
        <f>RESULTADOS_R!$T$18</f>
        <v>4.3639999999999998E-3</v>
      </c>
      <c r="AH47">
        <f t="shared" si="0"/>
        <v>-4.5406200980687622E-2</v>
      </c>
      <c r="AI47" s="3"/>
      <c r="AJ47" t="s">
        <v>133</v>
      </c>
      <c r="AK47" t="s">
        <v>45</v>
      </c>
      <c r="AL47">
        <v>-1.6124407368895909E-3</v>
      </c>
      <c r="AM47">
        <v>7.1596489658825192E-3</v>
      </c>
      <c r="AN47">
        <v>-4.9726606693783768E-3</v>
      </c>
      <c r="AO47">
        <v>4.546444227470311E-3</v>
      </c>
      <c r="AP47">
        <v>-5.0184182161011398E-3</v>
      </c>
      <c r="AQ47">
        <f>RESULTADOS_R!$T$19+(RESULTADOS_R!$T$20*AL46)+(RESULTADOS_R!$T$21*AL45)+(RESULTADOS_R!$T$22*AL44)+(RESULTADOS_R!$T$23*AL43)</f>
        <v>-2.5967908673760177E-4</v>
      </c>
      <c r="AR47">
        <f t="shared" si="5"/>
        <v>-1.3527616501519892E-3</v>
      </c>
      <c r="AS47" s="3"/>
      <c r="AT47" t="s">
        <v>133</v>
      </c>
      <c r="AU47" t="s">
        <v>45</v>
      </c>
      <c r="AV47">
        <v>-7.1050874526852621E-3</v>
      </c>
      <c r="AW47">
        <v>4.6051821872504428E-3</v>
      </c>
      <c r="AX47">
        <v>-7.421424367776033E-3</v>
      </c>
      <c r="AY47">
        <f>RESULTADOS_R!$T$24+(RESULTADOS_R!$T$25*AV46)+(RESULTADOS_R!$T$26*AV45)</f>
        <v>1.3435063450208391E-3</v>
      </c>
      <c r="AZ47">
        <f t="shared" si="3"/>
        <v>-8.4485937977061016E-3</v>
      </c>
      <c r="BA47" s="3"/>
      <c r="BB47" t="s">
        <v>133</v>
      </c>
      <c r="BC47" t="s">
        <v>45</v>
      </c>
      <c r="BD47">
        <v>-4.2523097385303915E-3</v>
      </c>
      <c r="BE47">
        <v>-9.8655947953921706E-4</v>
      </c>
      <c r="BF47">
        <f>RESULTADOS_R!$T$27+(RESULTADOS_R!$T$28*BD46)</f>
        <v>-1.2260330146260465E-4</v>
      </c>
      <c r="BG47">
        <f t="shared" si="1"/>
        <v>-4.1297064370677868E-3</v>
      </c>
    </row>
    <row r="48" spans="1:59" x14ac:dyDescent="0.25">
      <c r="A48" t="s">
        <v>133</v>
      </c>
      <c r="B48" t="s">
        <v>46</v>
      </c>
      <c r="C48">
        <v>-6.669806105535349E-3</v>
      </c>
      <c r="D48">
        <v>-8.6652606982309567E-3</v>
      </c>
      <c r="E48">
        <v>-4.0034368598091345E-3</v>
      </c>
      <c r="F48">
        <v>4.1626345040203664E-3</v>
      </c>
      <c r="G48">
        <v>2.1995195428139666E-3</v>
      </c>
      <c r="H48">
        <f>RESULTADOS_R!$T$4+(RESULTADOS_R!$T$5*C47)+(RESULTADOS_R!$T$6*C46)+(RESULTADOS_R!$T$7*C45)+(RESULTADOS_R!$T$8*C44)</f>
        <v>3.0177403126869676E-3</v>
      </c>
      <c r="I48">
        <f t="shared" si="4"/>
        <v>-9.6875464182223162E-3</v>
      </c>
      <c r="J48" s="3"/>
      <c r="K48" t="s">
        <v>133</v>
      </c>
      <c r="L48" t="s">
        <v>46</v>
      </c>
      <c r="M48">
        <v>1.4172672739632703E-3</v>
      </c>
      <c r="N48">
        <v>-1.8892436839046118E-3</v>
      </c>
      <c r="O48">
        <v>3.5396142190107101E-4</v>
      </c>
      <c r="P48">
        <v>-5.8986611749862724E-4</v>
      </c>
      <c r="Q48">
        <v>4.7186505535207446E-4</v>
      </c>
      <c r="R48">
        <v>1.770068152244669E-4</v>
      </c>
      <c r="S48">
        <f>RESULTADOS_R!$T$9+(RESULTADOS_R!$T$10*M47)+(RESULTADOS_R!$T$11*M46)+(RESULTADOS_R!$T$12*M45)+(RESULTADOS_R!$T$13*M44)+(RESULTADOS_R!$T$14*M43)</f>
        <v>3.4566567057945274E-4</v>
      </c>
      <c r="T48">
        <f t="shared" si="6"/>
        <v>1.0716016033838175E-3</v>
      </c>
      <c r="U48" s="3"/>
      <c r="V48" t="s">
        <v>133</v>
      </c>
      <c r="W48" t="s">
        <v>46</v>
      </c>
      <c r="X48">
        <v>-2.5169064597815687E-4</v>
      </c>
      <c r="Y48">
        <v>-5.8260688154822909E-2</v>
      </c>
      <c r="Z48">
        <v>3.0026626361812518E-2</v>
      </c>
      <c r="AA48">
        <f>RESULTADOS_R!$T$15+(RESULTADOS_R!$T$16*'EV1-ER-AR'!X47)+(RESULTADOS_R!$T$17*'EV1-ER-AR'!X46)</f>
        <v>-1.8831906952870715E-2</v>
      </c>
      <c r="AB48">
        <f t="shared" si="2"/>
        <v>1.858021630689256E-2</v>
      </c>
      <c r="AC48" s="3"/>
      <c r="AD48" t="s">
        <v>133</v>
      </c>
      <c r="AE48" t="s">
        <v>46</v>
      </c>
      <c r="AF48">
        <v>-7.4254864795966231E-3</v>
      </c>
      <c r="AG48">
        <f>RESULTADOS_R!$T$18</f>
        <v>4.3639999999999998E-3</v>
      </c>
      <c r="AH48">
        <f t="shared" si="0"/>
        <v>-1.1789486479596623E-2</v>
      </c>
      <c r="AI48" s="3"/>
      <c r="AJ48" t="s">
        <v>133</v>
      </c>
      <c r="AK48" t="s">
        <v>46</v>
      </c>
      <c r="AL48">
        <v>1.0136899760795915E-2</v>
      </c>
      <c r="AM48">
        <v>-1.6124407368895909E-3</v>
      </c>
      <c r="AN48">
        <v>7.1596489658825192E-3</v>
      </c>
      <c r="AO48">
        <v>-4.9726606693783768E-3</v>
      </c>
      <c r="AP48">
        <v>4.546444227470311E-3</v>
      </c>
      <c r="AQ48">
        <f>RESULTADOS_R!$T$19+(RESULTADOS_R!$T$20*AL47)+(RESULTADOS_R!$T$21*AL46)+(RESULTADOS_R!$T$22*AL45)+(RESULTADOS_R!$T$23*AL44)</f>
        <v>2.34076105778588E-3</v>
      </c>
      <c r="AR48">
        <f t="shared" si="5"/>
        <v>7.7961387030100349E-3</v>
      </c>
      <c r="AS48" s="3"/>
      <c r="AT48" t="s">
        <v>133</v>
      </c>
      <c r="AU48" t="s">
        <v>46</v>
      </c>
      <c r="AV48">
        <v>1.5361158876894519E-2</v>
      </c>
      <c r="AW48">
        <v>-7.1050874526852621E-3</v>
      </c>
      <c r="AX48">
        <v>4.6051821872504428E-3</v>
      </c>
      <c r="AY48">
        <f>RESULTADOS_R!$T$24+(RESULTADOS_R!$T$25*AV47)+(RESULTADOS_R!$T$26*AV46)</f>
        <v>7.2199804681981664E-4</v>
      </c>
      <c r="AZ48">
        <f t="shared" si="3"/>
        <v>1.4639160830074702E-2</v>
      </c>
      <c r="BA48" s="3"/>
      <c r="BB48" t="s">
        <v>133</v>
      </c>
      <c r="BC48" t="s">
        <v>46</v>
      </c>
      <c r="BD48">
        <v>-1.2168126127514024E-3</v>
      </c>
      <c r="BE48">
        <v>-4.2523097385303915E-3</v>
      </c>
      <c r="BF48">
        <f>RESULTADOS_R!$T$27+(RESULTADOS_R!$T$28*BD47)</f>
        <v>-7.4576390658326872E-4</v>
      </c>
      <c r="BG48">
        <f t="shared" si="1"/>
        <v>-4.7104870616813369E-4</v>
      </c>
    </row>
    <row r="49" spans="1:59" x14ac:dyDescent="0.25">
      <c r="A49" t="s">
        <v>133</v>
      </c>
      <c r="B49" t="s">
        <v>47</v>
      </c>
      <c r="C49">
        <v>6.3164889354635359E-3</v>
      </c>
      <c r="D49">
        <v>-6.669806105535349E-3</v>
      </c>
      <c r="E49">
        <v>-8.6652606982309567E-3</v>
      </c>
      <c r="F49">
        <v>-4.0034368598091345E-3</v>
      </c>
      <c r="G49">
        <v>4.1626345040203664E-3</v>
      </c>
      <c r="H49">
        <f>RESULTADOS_R!$T$4+(RESULTADOS_R!$T$5*C48)+(RESULTADOS_R!$T$6*C47)+(RESULTADOS_R!$T$7*C46)+(RESULTADOS_R!$T$8*C45)</f>
        <v>6.0892113735791223E-3</v>
      </c>
      <c r="I49">
        <f t="shared" si="4"/>
        <v>2.2727756188441368E-4</v>
      </c>
      <c r="J49" s="3"/>
      <c r="K49" t="s">
        <v>133</v>
      </c>
      <c r="L49" t="s">
        <v>47</v>
      </c>
      <c r="M49">
        <v>-4.7219927686513636E-4</v>
      </c>
      <c r="N49">
        <v>1.4172672739632703E-3</v>
      </c>
      <c r="O49">
        <v>-1.8892436839046118E-3</v>
      </c>
      <c r="P49">
        <v>3.5396142190107101E-4</v>
      </c>
      <c r="Q49">
        <v>-5.8986611749862724E-4</v>
      </c>
      <c r="R49">
        <v>4.7186505535207446E-4</v>
      </c>
      <c r="S49">
        <f>RESULTADOS_R!$T$9+(RESULTADOS_R!$T$10*M48)+(RESULTADOS_R!$T$11*M47)+(RESULTADOS_R!$T$12*M46)+(RESULTADOS_R!$T$13*M45)+(RESULTADOS_R!$T$14*M44)</f>
        <v>-3.7636864601133511E-4</v>
      </c>
      <c r="T49">
        <f t="shared" si="6"/>
        <v>-9.5830630853801255E-5</v>
      </c>
      <c r="U49" s="3"/>
      <c r="V49" t="s">
        <v>133</v>
      </c>
      <c r="W49" t="s">
        <v>47</v>
      </c>
      <c r="X49">
        <v>-9.3481384362003473E-3</v>
      </c>
      <c r="Y49">
        <v>-2.5169064597815687E-4</v>
      </c>
      <c r="Z49">
        <v>-5.8260688154822909E-2</v>
      </c>
      <c r="AA49">
        <f>RESULTADOS_R!$T$15+(RESULTADOS_R!$T$16*'EV1-ER-AR'!X48)+(RESULTADOS_R!$T$17*'EV1-ER-AR'!X47)</f>
        <v>1.4659969217144481E-2</v>
      </c>
      <c r="AB49">
        <f t="shared" si="2"/>
        <v>-2.400810765334483E-2</v>
      </c>
      <c r="AC49" s="3"/>
      <c r="AD49" t="s">
        <v>133</v>
      </c>
      <c r="AE49" t="s">
        <v>47</v>
      </c>
      <c r="AF49">
        <v>-8.2026952359634253E-3</v>
      </c>
      <c r="AG49">
        <f>RESULTADOS_R!$T$18</f>
        <v>4.3639999999999998E-3</v>
      </c>
      <c r="AH49">
        <f t="shared" si="0"/>
        <v>-1.2566695235963425E-2</v>
      </c>
      <c r="AI49" s="3"/>
      <c r="AJ49" t="s">
        <v>133</v>
      </c>
      <c r="AK49" t="s">
        <v>47</v>
      </c>
      <c r="AL49">
        <v>-2.0259587034591377E-3</v>
      </c>
      <c r="AM49">
        <v>1.0136899760795915E-2</v>
      </c>
      <c r="AN49">
        <v>-1.6124407368895909E-3</v>
      </c>
      <c r="AO49">
        <v>7.1596489658825192E-3</v>
      </c>
      <c r="AP49">
        <v>-4.9726606693783768E-3</v>
      </c>
      <c r="AQ49">
        <f>RESULTADOS_R!$T$19+(RESULTADOS_R!$T$20*AL48)+(RESULTADOS_R!$T$21*AL47)+(RESULTADOS_R!$T$22*AL46)+(RESULTADOS_R!$T$23*AL45)</f>
        <v>-3.7519352557279417E-4</v>
      </c>
      <c r="AR49">
        <f t="shared" si="5"/>
        <v>-1.6507651778863435E-3</v>
      </c>
      <c r="AS49" s="3"/>
      <c r="AT49" t="s">
        <v>133</v>
      </c>
      <c r="AU49" t="s">
        <v>47</v>
      </c>
      <c r="AV49">
        <v>-2.0076540024635277E-2</v>
      </c>
      <c r="AW49">
        <v>1.5361158876894519E-2</v>
      </c>
      <c r="AX49">
        <v>-7.1050874526852621E-3</v>
      </c>
      <c r="AY49">
        <f>RESULTADOS_R!$T$24+(RESULTADOS_R!$T$25*AV48)+(RESULTADOS_R!$T$26*AV47)</f>
        <v>7.7340258912781778E-4</v>
      </c>
      <c r="AZ49">
        <f t="shared" si="3"/>
        <v>-2.0849942613763096E-2</v>
      </c>
      <c r="BA49" s="3"/>
      <c r="BB49" t="s">
        <v>133</v>
      </c>
      <c r="BC49" t="s">
        <v>47</v>
      </c>
      <c r="BD49">
        <v>-9.1102189170651042E-4</v>
      </c>
      <c r="BE49">
        <v>-1.2168126127514024E-3</v>
      </c>
      <c r="BF49">
        <f>RESULTADOS_R!$T$27+(RESULTADOS_R!$T$28*BD48)</f>
        <v>-1.6653950920794469E-4</v>
      </c>
      <c r="BG49">
        <f t="shared" si="1"/>
        <v>-7.4448238249856568E-4</v>
      </c>
    </row>
    <row r="50" spans="1:59" x14ac:dyDescent="0.25">
      <c r="A50" t="s">
        <v>133</v>
      </c>
      <c r="B50" t="s">
        <v>48</v>
      </c>
      <c r="C50">
        <v>1.4766783846067806E-3</v>
      </c>
      <c r="D50">
        <v>6.3164889354635359E-3</v>
      </c>
      <c r="E50">
        <v>-6.669806105535349E-3</v>
      </c>
      <c r="F50">
        <v>-8.6652606982309567E-3</v>
      </c>
      <c r="G50">
        <v>-4.0034368598091345E-3</v>
      </c>
      <c r="H50">
        <f>RESULTADOS_R!$T$4+(RESULTADOS_R!$T$5*C49)+(RESULTADOS_R!$T$6*C48)+(RESULTADOS_R!$T$7*C47)+(RESULTADOS_R!$T$8*C46)</f>
        <v>4.0204079861575351E-3</v>
      </c>
      <c r="I50">
        <f t="shared" si="4"/>
        <v>-2.5437296015507543E-3</v>
      </c>
      <c r="J50" s="3"/>
      <c r="K50" t="s">
        <v>133</v>
      </c>
      <c r="L50" t="s">
        <v>48</v>
      </c>
      <c r="M50">
        <v>-4.7242235436324162E-4</v>
      </c>
      <c r="N50">
        <v>-4.7219927686513636E-4</v>
      </c>
      <c r="O50">
        <v>1.4172672739632703E-3</v>
      </c>
      <c r="P50">
        <v>-1.8892436839046118E-3</v>
      </c>
      <c r="Q50">
        <v>3.5396142190107101E-4</v>
      </c>
      <c r="R50">
        <v>-5.8986611749862724E-4</v>
      </c>
      <c r="S50">
        <f>RESULTADOS_R!$T$9+(RESULTADOS_R!$T$10*M49)+(RESULTADOS_R!$T$11*M48)+(RESULTADOS_R!$T$12*M47)+(RESULTADOS_R!$T$13*M46)+(RESULTADOS_R!$T$14*M45)</f>
        <v>4.9364134222194529E-4</v>
      </c>
      <c r="T50">
        <f t="shared" si="6"/>
        <v>-9.6606369658518696E-4</v>
      </c>
      <c r="U50" s="3"/>
      <c r="V50" t="s">
        <v>133</v>
      </c>
      <c r="W50" t="s">
        <v>48</v>
      </c>
      <c r="X50">
        <v>2.6704766100005554E-2</v>
      </c>
      <c r="Y50">
        <v>-9.3481384362003473E-3</v>
      </c>
      <c r="Z50">
        <v>-2.5169064597815687E-4</v>
      </c>
      <c r="AA50">
        <f>RESULTADOS_R!$T$15+(RESULTADOS_R!$T$16*'EV1-ER-AR'!X49)+(RESULTADOS_R!$T$17*'EV1-ER-AR'!X48)</f>
        <v>-5.0744643745917115E-4</v>
      </c>
      <c r="AB50">
        <f t="shared" si="2"/>
        <v>2.7212212537464725E-2</v>
      </c>
      <c r="AC50" s="3"/>
      <c r="AD50" t="s">
        <v>133</v>
      </c>
      <c r="AE50" t="s">
        <v>48</v>
      </c>
      <c r="AF50">
        <v>1.6900972454646883E-2</v>
      </c>
      <c r="AG50">
        <f>RESULTADOS_R!$T$18</f>
        <v>4.3639999999999998E-3</v>
      </c>
      <c r="AH50">
        <f t="shared" si="0"/>
        <v>1.2536972454646883E-2</v>
      </c>
      <c r="AI50" s="3"/>
      <c r="AJ50" t="s">
        <v>133</v>
      </c>
      <c r="AK50" t="s">
        <v>48</v>
      </c>
      <c r="AL50">
        <v>9.1523878865586432E-4</v>
      </c>
      <c r="AM50">
        <v>-2.0259587034591377E-3</v>
      </c>
      <c r="AN50">
        <v>1.0136899760795915E-2</v>
      </c>
      <c r="AO50">
        <v>-1.6124407368895909E-3</v>
      </c>
      <c r="AP50">
        <v>7.1596489658825192E-3</v>
      </c>
      <c r="AQ50">
        <f>RESULTADOS_R!$T$19+(RESULTADOS_R!$T$20*AL49)+(RESULTADOS_R!$T$21*AL48)+(RESULTADOS_R!$T$22*AL47)+(RESULTADOS_R!$T$23*AL46)</f>
        <v>2.0516230187989475E-3</v>
      </c>
      <c r="AR50">
        <f t="shared" si="5"/>
        <v>-1.1363842301430832E-3</v>
      </c>
      <c r="AS50" s="3"/>
      <c r="AT50" t="s">
        <v>133</v>
      </c>
      <c r="AU50" t="s">
        <v>48</v>
      </c>
      <c r="AV50">
        <v>7.6047795459064675E-3</v>
      </c>
      <c r="AW50">
        <v>-2.0076540024635277E-2</v>
      </c>
      <c r="AX50">
        <v>1.5361158876894519E-2</v>
      </c>
      <c r="AY50">
        <f>RESULTADOS_R!$T$24+(RESULTADOS_R!$T$25*AV49)+(RESULTADOS_R!$T$26*AV48)</f>
        <v>2.9119831051182122E-4</v>
      </c>
      <c r="AZ50">
        <f t="shared" si="3"/>
        <v>7.313581235394646E-3</v>
      </c>
      <c r="BA50" s="3"/>
      <c r="BB50" t="s">
        <v>133</v>
      </c>
      <c r="BC50" t="s">
        <v>48</v>
      </c>
      <c r="BD50">
        <v>-2.4403010192748254E-3</v>
      </c>
      <c r="BE50">
        <v>-9.1102189170651042E-4</v>
      </c>
      <c r="BF50">
        <f>RESULTADOS_R!$T$27+(RESULTADOS_R!$T$28*BD49)</f>
        <v>-1.0818944700034527E-4</v>
      </c>
      <c r="BG50">
        <f t="shared" si="1"/>
        <v>-2.33211157227448E-3</v>
      </c>
    </row>
    <row r="51" spans="1:59" x14ac:dyDescent="0.25">
      <c r="A51" t="s">
        <v>133</v>
      </c>
      <c r="B51" t="s">
        <v>49</v>
      </c>
      <c r="C51">
        <v>9.1006966626516438E-3</v>
      </c>
      <c r="D51">
        <v>1.4766783846067806E-3</v>
      </c>
      <c r="E51">
        <v>6.3164889354635359E-3</v>
      </c>
      <c r="F51">
        <v>-6.669806105535349E-3</v>
      </c>
      <c r="G51">
        <v>-8.6652606982309567E-3</v>
      </c>
      <c r="H51">
        <f>RESULTADOS_R!$T$4+(RESULTADOS_R!$T$5*C50)+(RESULTADOS_R!$T$6*C49)+(RESULTADOS_R!$T$7*C48)+(RESULTADOS_R!$T$8*C47)</f>
        <v>9.7786161538808989E-4</v>
      </c>
      <c r="I51">
        <f t="shared" si="4"/>
        <v>8.1228350472635543E-3</v>
      </c>
      <c r="J51" s="3"/>
      <c r="K51" t="s">
        <v>133</v>
      </c>
      <c r="L51" t="s">
        <v>49</v>
      </c>
      <c r="M51">
        <v>-3.544632872229304E-4</v>
      </c>
      <c r="N51">
        <v>-4.7242235436324162E-4</v>
      </c>
      <c r="O51">
        <v>-4.7219927686513636E-4</v>
      </c>
      <c r="P51">
        <v>1.4172672739632703E-3</v>
      </c>
      <c r="Q51">
        <v>-1.8892436839046118E-3</v>
      </c>
      <c r="R51">
        <v>3.5396142190107101E-4</v>
      </c>
      <c r="S51">
        <f>RESULTADOS_R!$T$9+(RESULTADOS_R!$T$10*M50)+(RESULTADOS_R!$T$11*M49)+(RESULTADOS_R!$T$12*M48)+(RESULTADOS_R!$T$13*M47)+(RESULTADOS_R!$T$14*M46)</f>
        <v>-3.1322023936775935E-4</v>
      </c>
      <c r="T51">
        <f t="shared" si="6"/>
        <v>-4.124304785517105E-5</v>
      </c>
      <c r="U51" s="3"/>
      <c r="V51" t="s">
        <v>133</v>
      </c>
      <c r="W51" t="s">
        <v>49</v>
      </c>
      <c r="X51">
        <v>1.3162867568884736E-2</v>
      </c>
      <c r="Y51">
        <v>2.6704766100005554E-2</v>
      </c>
      <c r="Z51">
        <v>-9.3481384362003473E-3</v>
      </c>
      <c r="AA51">
        <f>RESULTADOS_R!$T$15+(RESULTADOS_R!$T$16*'EV1-ER-AR'!X50)+(RESULTADOS_R!$T$17*'EV1-ER-AR'!X49)</f>
        <v>1.0030943669555658E-2</v>
      </c>
      <c r="AB51">
        <f t="shared" si="2"/>
        <v>3.1319238993290782E-3</v>
      </c>
      <c r="AC51" s="3"/>
      <c r="AD51" t="s">
        <v>133</v>
      </c>
      <c r="AE51" t="s">
        <v>49</v>
      </c>
      <c r="AF51">
        <v>-3.6554207507552111E-4</v>
      </c>
      <c r="AG51">
        <f>RESULTADOS_R!$T$18</f>
        <v>4.3639999999999998E-3</v>
      </c>
      <c r="AH51">
        <f t="shared" si="0"/>
        <v>-4.7295420750755211E-3</v>
      </c>
      <c r="AI51" s="3"/>
      <c r="AJ51" t="s">
        <v>133</v>
      </c>
      <c r="AK51" t="s">
        <v>49</v>
      </c>
      <c r="AL51">
        <v>-1.0860414841124029E-2</v>
      </c>
      <c r="AM51">
        <v>9.1523878865586432E-4</v>
      </c>
      <c r="AN51">
        <v>-2.0259587034591377E-3</v>
      </c>
      <c r="AO51">
        <v>1.0136899760795915E-2</v>
      </c>
      <c r="AP51">
        <v>-1.6124407368895909E-3</v>
      </c>
      <c r="AQ51">
        <f>RESULTADOS_R!$T$19+(RESULTADOS_R!$T$20*AL50)+(RESULTADOS_R!$T$21*AL49)+(RESULTADOS_R!$T$22*AL48)+(RESULTADOS_R!$T$23*AL47)</f>
        <v>-1.337896640081837E-3</v>
      </c>
      <c r="AR51">
        <f t="shared" si="5"/>
        <v>-9.5225182010421922E-3</v>
      </c>
      <c r="AS51" s="3"/>
      <c r="AT51" t="s">
        <v>133</v>
      </c>
      <c r="AU51" t="s">
        <v>49</v>
      </c>
      <c r="AV51">
        <v>-2.3183285133594814E-2</v>
      </c>
      <c r="AW51">
        <v>7.6047795459064675E-3</v>
      </c>
      <c r="AX51">
        <v>-2.0076540024635277E-2</v>
      </c>
      <c r="AY51">
        <f>RESULTADOS_R!$T$24+(RESULTADOS_R!$T$25*AV50)+(RESULTADOS_R!$T$26*AV49)</f>
        <v>2.464096008631185E-3</v>
      </c>
      <c r="AZ51">
        <f t="shared" si="3"/>
        <v>-2.5647381142225999E-2</v>
      </c>
      <c r="BA51" s="3"/>
      <c r="BB51" t="s">
        <v>133</v>
      </c>
      <c r="BC51" t="s">
        <v>49</v>
      </c>
      <c r="BD51">
        <v>2.9726842658728816E-3</v>
      </c>
      <c r="BE51">
        <v>-2.4403010192748254E-3</v>
      </c>
      <c r="BF51">
        <f>RESULTADOS_R!$T$27+(RESULTADOS_R!$T$28*BD50)</f>
        <v>-4.0000187322924502E-4</v>
      </c>
      <c r="BG51">
        <f t="shared" si="1"/>
        <v>3.3726861391021267E-3</v>
      </c>
    </row>
    <row r="52" spans="1:59" x14ac:dyDescent="0.25">
      <c r="A52" t="s">
        <v>133</v>
      </c>
      <c r="B52" t="s">
        <v>50</v>
      </c>
      <c r="C52">
        <v>-3.151915247303713E-3</v>
      </c>
      <c r="D52">
        <v>9.1006966626516438E-3</v>
      </c>
      <c r="E52">
        <v>1.4766783846067806E-3</v>
      </c>
      <c r="F52">
        <v>6.3164889354635359E-3</v>
      </c>
      <c r="G52">
        <v>-6.669806105535349E-3</v>
      </c>
      <c r="H52">
        <f>RESULTADOS_R!$T$4+(RESULTADOS_R!$T$5*C51)+(RESULTADOS_R!$T$6*C50)+(RESULTADOS_R!$T$7*C49)+(RESULTADOS_R!$T$8*C48)</f>
        <v>-2.0560415046394979E-3</v>
      </c>
      <c r="I52">
        <f t="shared" si="4"/>
        <v>-1.0958737426642151E-3</v>
      </c>
      <c r="J52" s="3"/>
      <c r="K52" t="s">
        <v>133</v>
      </c>
      <c r="L52" t="s">
        <v>50</v>
      </c>
      <c r="M52">
        <v>0</v>
      </c>
      <c r="N52">
        <v>-3.544632872229304E-4</v>
      </c>
      <c r="O52">
        <v>-4.7242235436324162E-4</v>
      </c>
      <c r="P52">
        <v>-4.7219927686513636E-4</v>
      </c>
      <c r="Q52">
        <v>1.4172672739632703E-3</v>
      </c>
      <c r="R52">
        <v>-1.8892436839046118E-3</v>
      </c>
      <c r="S52">
        <f>RESULTADOS_R!$T$9+(RESULTADOS_R!$T$10*M51)+(RESULTADOS_R!$T$11*M50)+(RESULTADOS_R!$T$12*M49)+(RESULTADOS_R!$T$13*M48)+(RESULTADOS_R!$T$14*M47)</f>
        <v>3.4088816734880064E-4</v>
      </c>
      <c r="T52">
        <f t="shared" si="6"/>
        <v>-3.4088816734880064E-4</v>
      </c>
      <c r="U52" s="3"/>
      <c r="V52" t="s">
        <v>133</v>
      </c>
      <c r="W52" t="s">
        <v>50</v>
      </c>
      <c r="X52">
        <v>-1.9548168353130835E-2</v>
      </c>
      <c r="Y52">
        <v>1.3162867568884736E-2</v>
      </c>
      <c r="Z52">
        <v>2.6704766100005554E-2</v>
      </c>
      <c r="AA52">
        <f>RESULTADOS_R!$T$15+(RESULTADOS_R!$T$16*'EV1-ER-AR'!X51)+(RESULTADOS_R!$T$17*'EV1-ER-AR'!X50)</f>
        <v>-1.2546452687298764E-3</v>
      </c>
      <c r="AB52">
        <f t="shared" si="2"/>
        <v>-1.8293523084400957E-2</v>
      </c>
      <c r="AC52" s="3"/>
      <c r="AD52" t="s">
        <v>133</v>
      </c>
      <c r="AE52" t="s">
        <v>50</v>
      </c>
      <c r="AF52">
        <v>-6.5179454923937107E-3</v>
      </c>
      <c r="AG52">
        <f>RESULTADOS_R!$T$18</f>
        <v>4.3639999999999998E-3</v>
      </c>
      <c r="AH52">
        <f t="shared" si="0"/>
        <v>-1.088194549239371E-2</v>
      </c>
      <c r="AI52" s="3"/>
      <c r="AJ52" t="s">
        <v>133</v>
      </c>
      <c r="AK52" t="s">
        <v>50</v>
      </c>
      <c r="AL52">
        <v>1.5264827127711015E-3</v>
      </c>
      <c r="AM52">
        <v>-1.0860414841124029E-2</v>
      </c>
      <c r="AN52">
        <v>9.1523878865586432E-4</v>
      </c>
      <c r="AO52">
        <v>-2.0259587034591377E-3</v>
      </c>
      <c r="AP52">
        <v>1.0136899760795915E-2</v>
      </c>
      <c r="AQ52">
        <f>RESULTADOS_R!$T$19+(RESULTADOS_R!$T$20*AL51)+(RESULTADOS_R!$T$21*AL50)+(RESULTADOS_R!$T$22*AL49)+(RESULTADOS_R!$T$23*AL48)</f>
        <v>1.324794477907332E-3</v>
      </c>
      <c r="AR52">
        <f t="shared" si="5"/>
        <v>2.0168823486376949E-4</v>
      </c>
      <c r="AS52" s="3"/>
      <c r="AT52" t="s">
        <v>133</v>
      </c>
      <c r="AU52" t="s">
        <v>50</v>
      </c>
      <c r="AV52">
        <v>2.4727855548252746E-3</v>
      </c>
      <c r="AW52">
        <v>-2.3183285133594814E-2</v>
      </c>
      <c r="AX52">
        <v>7.6047795459064675E-3</v>
      </c>
      <c r="AY52">
        <f>RESULTADOS_R!$T$24+(RESULTADOS_R!$T$25*AV51)+(RESULTADOS_R!$T$26*AV50)</f>
        <v>1.2255222940702189E-3</v>
      </c>
      <c r="AZ52">
        <f t="shared" si="3"/>
        <v>1.2472632607550558E-3</v>
      </c>
      <c r="BA52" s="3"/>
      <c r="BB52" t="s">
        <v>133</v>
      </c>
      <c r="BC52" t="s">
        <v>50</v>
      </c>
      <c r="BD52">
        <v>-5.7334754621656144E-4</v>
      </c>
      <c r="BE52">
        <v>2.9726842658728816E-3</v>
      </c>
      <c r="BF52">
        <f>RESULTADOS_R!$T$27+(RESULTADOS_R!$T$28*BD51)</f>
        <v>6.3288763708006454E-4</v>
      </c>
      <c r="BG52">
        <f t="shared" si="1"/>
        <v>-1.2062351832966261E-3</v>
      </c>
    </row>
    <row r="53" spans="1:59" x14ac:dyDescent="0.25">
      <c r="A53" t="s">
        <v>133</v>
      </c>
      <c r="B53" t="s">
        <v>51</v>
      </c>
      <c r="C53">
        <v>-1.1166947000750686E-3</v>
      </c>
      <c r="D53">
        <v>-3.151915247303713E-3</v>
      </c>
      <c r="E53">
        <v>9.1006966626516438E-3</v>
      </c>
      <c r="F53">
        <v>1.4766783846067806E-3</v>
      </c>
      <c r="G53">
        <v>6.3164889354635359E-3</v>
      </c>
      <c r="H53">
        <f>RESULTADOS_R!$T$4+(RESULTADOS_R!$T$5*C52)+(RESULTADOS_R!$T$6*C51)+(RESULTADOS_R!$T$7*C50)+(RESULTADOS_R!$T$8*C49)</f>
        <v>1.7675138015506627E-3</v>
      </c>
      <c r="I53">
        <f t="shared" si="4"/>
        <v>-2.8842085016257315E-3</v>
      </c>
      <c r="J53" s="3"/>
      <c r="K53" t="s">
        <v>133</v>
      </c>
      <c r="L53" t="s">
        <v>51</v>
      </c>
      <c r="M53">
        <v>-4.7281324757900205E-4</v>
      </c>
      <c r="N53">
        <v>0</v>
      </c>
      <c r="O53">
        <v>-3.544632872229304E-4</v>
      </c>
      <c r="P53">
        <v>-4.7242235436324162E-4</v>
      </c>
      <c r="Q53">
        <v>-4.7219927686513636E-4</v>
      </c>
      <c r="R53">
        <v>1.4172672739632703E-3</v>
      </c>
      <c r="S53">
        <f>RESULTADOS_R!$T$9+(RESULTADOS_R!$T$10*M52)+(RESULTADOS_R!$T$11*M51)+(RESULTADOS_R!$T$12*M50)+(RESULTADOS_R!$T$13*M49)+(RESULTADOS_R!$T$14*M48)</f>
        <v>-9.2937469953327225E-5</v>
      </c>
      <c r="T53">
        <f t="shared" si="6"/>
        <v>-3.7987577762567479E-4</v>
      </c>
      <c r="U53" s="3"/>
      <c r="V53" t="s">
        <v>133</v>
      </c>
      <c r="W53" t="s">
        <v>51</v>
      </c>
      <c r="X53">
        <v>-1.6728970061524288E-2</v>
      </c>
      <c r="Y53">
        <v>-1.9548168353130835E-2</v>
      </c>
      <c r="Z53">
        <v>1.3162867568884736E-2</v>
      </c>
      <c r="AA53">
        <f>RESULTADOS_R!$T$15+(RESULTADOS_R!$T$16*'EV1-ER-AR'!X52)+(RESULTADOS_R!$T$17*'EV1-ER-AR'!X51)</f>
        <v>-5.9228975960867718E-3</v>
      </c>
      <c r="AB53">
        <f t="shared" si="2"/>
        <v>-1.0806072465437517E-2</v>
      </c>
      <c r="AC53" s="3"/>
      <c r="AD53" t="s">
        <v>133</v>
      </c>
      <c r="AE53" t="s">
        <v>51</v>
      </c>
      <c r="AF53">
        <v>-1.3298494895653252E-2</v>
      </c>
      <c r="AG53">
        <f>RESULTADOS_R!$T$18</f>
        <v>4.3639999999999998E-3</v>
      </c>
      <c r="AH53">
        <f t="shared" si="0"/>
        <v>-1.7662494895653254E-2</v>
      </c>
      <c r="AI53" s="3"/>
      <c r="AJ53" t="s">
        <v>133</v>
      </c>
      <c r="AK53" t="s">
        <v>51</v>
      </c>
      <c r="AL53">
        <v>1.5173265162475953E-3</v>
      </c>
      <c r="AM53">
        <v>1.5264827127711015E-3</v>
      </c>
      <c r="AN53">
        <v>-1.0860414841124029E-2</v>
      </c>
      <c r="AO53">
        <v>9.1523878865586432E-4</v>
      </c>
      <c r="AP53">
        <v>-2.0259587034591377E-3</v>
      </c>
      <c r="AQ53">
        <f>RESULTADOS_R!$T$19+(RESULTADOS_R!$T$20*AL52)+(RESULTADOS_R!$T$21*AL51)+(RESULTADOS_R!$T$22*AL50)+(RESULTADOS_R!$T$23*AL49)</f>
        <v>1.9194937323208843E-5</v>
      </c>
      <c r="AR53">
        <f t="shared" si="5"/>
        <v>1.4981315789243865E-3</v>
      </c>
      <c r="AS53" s="3"/>
      <c r="AT53" t="s">
        <v>133</v>
      </c>
      <c r="AU53" t="s">
        <v>51</v>
      </c>
      <c r="AV53">
        <v>3.21751566835397E-3</v>
      </c>
      <c r="AW53">
        <v>2.4727855548252746E-3</v>
      </c>
      <c r="AX53">
        <v>-2.3183285133594814E-2</v>
      </c>
      <c r="AY53">
        <f>RESULTADOS_R!$T$24+(RESULTADOS_R!$T$25*AV52)+(RESULTADOS_R!$T$26*AV51)</f>
        <v>3.0329070946657978E-3</v>
      </c>
      <c r="AZ53">
        <f t="shared" si="3"/>
        <v>1.8460857368817222E-4</v>
      </c>
      <c r="BA53" s="3"/>
      <c r="BB53" t="s">
        <v>133</v>
      </c>
      <c r="BC53" t="s">
        <v>51</v>
      </c>
      <c r="BD53">
        <v>-2.3685395345165966E-3</v>
      </c>
      <c r="BE53">
        <v>-5.7334754621656144E-4</v>
      </c>
      <c r="BF53">
        <f>RESULTADOS_R!$T$27+(RESULTADOS_R!$T$28*BD52)</f>
        <v>-4.3755447832802231E-5</v>
      </c>
      <c r="BG53">
        <f t="shared" si="1"/>
        <v>-2.3247840866837946E-3</v>
      </c>
    </row>
    <row r="54" spans="1:59" x14ac:dyDescent="0.25">
      <c r="A54" t="s">
        <v>133</v>
      </c>
      <c r="B54" t="s">
        <v>52</v>
      </c>
      <c r="C54">
        <v>2.9008164935763739E-3</v>
      </c>
      <c r="D54">
        <v>-1.1166947000750686E-3</v>
      </c>
      <c r="E54">
        <v>-3.151915247303713E-3</v>
      </c>
      <c r="F54">
        <v>9.1006966626516438E-3</v>
      </c>
      <c r="G54">
        <v>1.4766783846067806E-3</v>
      </c>
      <c r="H54">
        <f>RESULTADOS_R!$T$4+(RESULTADOS_R!$T$5*C53)+(RESULTADOS_R!$T$6*C52)+(RESULTADOS_R!$T$7*C51)+(RESULTADOS_R!$T$8*C50)</f>
        <v>6.3853774235366899E-4</v>
      </c>
      <c r="I54">
        <f t="shared" si="4"/>
        <v>2.2622787512227051E-3</v>
      </c>
      <c r="J54" s="3"/>
      <c r="K54" t="s">
        <v>133</v>
      </c>
      <c r="L54" t="s">
        <v>52</v>
      </c>
      <c r="M54">
        <v>8.2727653480192903E-4</v>
      </c>
      <c r="N54">
        <v>-4.7281324757900205E-4</v>
      </c>
      <c r="O54">
        <v>0</v>
      </c>
      <c r="P54">
        <v>-3.544632872229304E-4</v>
      </c>
      <c r="Q54">
        <v>-4.7242235436324162E-4</v>
      </c>
      <c r="R54">
        <v>-4.7219927686513636E-4</v>
      </c>
      <c r="S54">
        <f>RESULTADOS_R!$T$9+(RESULTADOS_R!$T$10*M53)+(RESULTADOS_R!$T$11*M52)+(RESULTADOS_R!$T$12*M51)+(RESULTADOS_R!$T$13*M50)+(RESULTADOS_R!$T$14*M49)</f>
        <v>1.4157030778916469E-4</v>
      </c>
      <c r="T54">
        <f t="shared" si="6"/>
        <v>6.8570622701276439E-4</v>
      </c>
      <c r="U54" s="3"/>
      <c r="V54" t="s">
        <v>133</v>
      </c>
      <c r="W54" t="s">
        <v>52</v>
      </c>
      <c r="X54">
        <v>-8.3740231663729185E-3</v>
      </c>
      <c r="Y54">
        <v>-1.6728970061524288E-2</v>
      </c>
      <c r="Z54">
        <v>-1.9548168353130835E-2</v>
      </c>
      <c r="AA54">
        <f>RESULTADOS_R!$T$15+(RESULTADOS_R!$T$16*'EV1-ER-AR'!X53)+(RESULTADOS_R!$T$17*'EV1-ER-AR'!X52)</f>
        <v>2.0855190236778332E-3</v>
      </c>
      <c r="AB54">
        <f t="shared" si="2"/>
        <v>-1.0459542190050752E-2</v>
      </c>
      <c r="AC54" s="3"/>
      <c r="AD54" t="s">
        <v>133</v>
      </c>
      <c r="AE54" t="s">
        <v>52</v>
      </c>
      <c r="AF54">
        <v>-1.8346679464213658E-2</v>
      </c>
      <c r="AG54">
        <f>RESULTADOS_R!$T$18</f>
        <v>4.3639999999999998E-3</v>
      </c>
      <c r="AH54">
        <f t="shared" si="0"/>
        <v>-2.2710679464213658E-2</v>
      </c>
      <c r="AI54" s="3"/>
      <c r="AJ54" t="s">
        <v>133</v>
      </c>
      <c r="AK54" t="s">
        <v>52</v>
      </c>
      <c r="AL54">
        <v>7.2404418300889709E-3</v>
      </c>
      <c r="AM54">
        <v>1.5173265162475953E-3</v>
      </c>
      <c r="AN54">
        <v>1.5264827127711015E-3</v>
      </c>
      <c r="AO54">
        <v>-1.0860414841124029E-2</v>
      </c>
      <c r="AP54">
        <v>9.1523878865586432E-4</v>
      </c>
      <c r="AQ54">
        <f>RESULTADOS_R!$T$19+(RESULTADOS_R!$T$20*AL53)+(RESULTADOS_R!$T$21*AL52)+(RESULTADOS_R!$T$22*AL51)+(RESULTADOS_R!$T$23*AL50)</f>
        <v>3.0978468180371814E-3</v>
      </c>
      <c r="AR54">
        <f t="shared" si="5"/>
        <v>4.142595012051789E-3</v>
      </c>
      <c r="AS54" s="3"/>
      <c r="AT54" t="s">
        <v>133</v>
      </c>
      <c r="AU54" t="s">
        <v>52</v>
      </c>
      <c r="AV54">
        <v>1.1818563565163812E-2</v>
      </c>
      <c r="AW54">
        <v>3.21751566835397E-3</v>
      </c>
      <c r="AX54">
        <v>2.4727855548252746E-3</v>
      </c>
      <c r="AY54">
        <f>RESULTADOS_R!$T$24+(RESULTADOS_R!$T$25*AV53)+(RESULTADOS_R!$T$26*AV52)</f>
        <v>4.1946602152728978E-4</v>
      </c>
      <c r="AZ54">
        <f t="shared" si="3"/>
        <v>1.1399097543636522E-2</v>
      </c>
      <c r="BA54" s="3"/>
      <c r="BB54" t="s">
        <v>133</v>
      </c>
      <c r="BC54" t="s">
        <v>52</v>
      </c>
      <c r="BD54">
        <v>-3.4448928875374899E-3</v>
      </c>
      <c r="BE54">
        <v>-2.3685395345165966E-3</v>
      </c>
      <c r="BF54">
        <f>RESULTADOS_R!$T$27+(RESULTADOS_R!$T$28*BD53)</f>
        <v>-3.8630856335560227E-4</v>
      </c>
      <c r="BG54">
        <f t="shared" si="1"/>
        <v>-3.0585843241818875E-3</v>
      </c>
    </row>
    <row r="55" spans="1:59" x14ac:dyDescent="0.25">
      <c r="A55" t="s">
        <v>133</v>
      </c>
      <c r="B55" t="s">
        <v>53</v>
      </c>
      <c r="C55">
        <v>8.5576256771426606E-3</v>
      </c>
      <c r="D55">
        <v>2.9008164935763739E-3</v>
      </c>
      <c r="E55">
        <v>-1.1166947000750686E-3</v>
      </c>
      <c r="F55">
        <v>-3.151915247303713E-3</v>
      </c>
      <c r="G55">
        <v>9.1006966626516438E-3</v>
      </c>
      <c r="H55">
        <f>RESULTADOS_R!$T$4+(RESULTADOS_R!$T$5*C54)+(RESULTADOS_R!$T$6*C53)+(RESULTADOS_R!$T$7*C52)+(RESULTADOS_R!$T$8*C51)</f>
        <v>4.5522423673143072E-3</v>
      </c>
      <c r="I55">
        <f t="shared" si="4"/>
        <v>4.0053833098283535E-3</v>
      </c>
      <c r="J55" s="3"/>
      <c r="K55" t="s">
        <v>133</v>
      </c>
      <c r="L55" t="s">
        <v>53</v>
      </c>
      <c r="M55">
        <v>-9.4551478501362881E-4</v>
      </c>
      <c r="N55">
        <v>8.2727653480192903E-4</v>
      </c>
      <c r="O55">
        <v>-4.7281324757900205E-4</v>
      </c>
      <c r="P55">
        <v>0</v>
      </c>
      <c r="Q55">
        <v>-3.544632872229304E-4</v>
      </c>
      <c r="R55">
        <v>-4.7242235436324162E-4</v>
      </c>
      <c r="S55">
        <f>RESULTADOS_R!$T$9+(RESULTADOS_R!$T$10*M54)+(RESULTADOS_R!$T$11*M53)+(RESULTADOS_R!$T$12*M52)+(RESULTADOS_R!$T$13*M51)+(RESULTADOS_R!$T$14*M50)</f>
        <v>-9.5305929058714411E-5</v>
      </c>
      <c r="T55">
        <f t="shared" si="6"/>
        <v>-8.5020885595491445E-4</v>
      </c>
      <c r="U55" s="3"/>
      <c r="V55" t="s">
        <v>133</v>
      </c>
      <c r="W55" t="s">
        <v>53</v>
      </c>
      <c r="X55">
        <v>3.5555015828312576E-3</v>
      </c>
      <c r="Y55">
        <v>-8.3740231663729185E-3</v>
      </c>
      <c r="Z55">
        <v>-1.6728970061524288E-2</v>
      </c>
      <c r="AA55">
        <f>RESULTADOS_R!$T$15+(RESULTADOS_R!$T$16*'EV1-ER-AR'!X54)+(RESULTADOS_R!$T$17*'EV1-ER-AR'!X53)</f>
        <v>3.4214740781050596E-3</v>
      </c>
      <c r="AB55">
        <f t="shared" si="2"/>
        <v>1.3402750472619801E-4</v>
      </c>
      <c r="AC55" s="3"/>
      <c r="AD55" t="s">
        <v>133</v>
      </c>
      <c r="AE55" t="s">
        <v>53</v>
      </c>
      <c r="AF55">
        <v>1.3803326448649799E-2</v>
      </c>
      <c r="AG55">
        <f>RESULTADOS_R!$T$18</f>
        <v>4.3639999999999998E-3</v>
      </c>
      <c r="AH55">
        <f t="shared" si="0"/>
        <v>9.4393264486497992E-3</v>
      </c>
      <c r="AI55" s="3"/>
      <c r="AJ55" t="s">
        <v>133</v>
      </c>
      <c r="AK55" t="s">
        <v>53</v>
      </c>
      <c r="AL55">
        <v>-3.6817192130948868E-3</v>
      </c>
      <c r="AM55">
        <v>7.2404418300889709E-3</v>
      </c>
      <c r="AN55">
        <v>1.5173265162475953E-3</v>
      </c>
      <c r="AO55">
        <v>1.5264827127711015E-3</v>
      </c>
      <c r="AP55">
        <v>-1.0860414841124029E-2</v>
      </c>
      <c r="AQ55">
        <f>RESULTADOS_R!$T$19+(RESULTADOS_R!$T$20*AL54)+(RESULTADOS_R!$T$21*AL53)+(RESULTADOS_R!$T$22*AL52)+(RESULTADOS_R!$T$23*AL51)</f>
        <v>6.9239817710341732E-5</v>
      </c>
      <c r="AR55">
        <f t="shared" si="5"/>
        <v>-3.7509590308052285E-3</v>
      </c>
      <c r="AS55" s="3"/>
      <c r="AT55" t="s">
        <v>133</v>
      </c>
      <c r="AU55" t="s">
        <v>53</v>
      </c>
      <c r="AV55">
        <v>4.3400712917978229E-3</v>
      </c>
      <c r="AW55">
        <v>1.1818563565163812E-2</v>
      </c>
      <c r="AX55">
        <v>3.21751566835397E-3</v>
      </c>
      <c r="AY55">
        <f>RESULTADOS_R!$T$24+(RESULTADOS_R!$T$25*AV54)+(RESULTADOS_R!$T$26*AV53)</f>
        <v>-8.5798548290009851E-5</v>
      </c>
      <c r="AZ55">
        <f t="shared" si="3"/>
        <v>4.4258698400878324E-3</v>
      </c>
      <c r="BA55" s="3"/>
      <c r="BB55" t="s">
        <v>133</v>
      </c>
      <c r="BC55" t="s">
        <v>53</v>
      </c>
      <c r="BD55">
        <v>3.2806302723126994E-3</v>
      </c>
      <c r="BE55">
        <v>-3.4448928875374899E-3</v>
      </c>
      <c r="BF55">
        <f>RESULTADOS_R!$T$27+(RESULTADOS_R!$T$28*BD54)</f>
        <v>-5.9169506066827633E-4</v>
      </c>
      <c r="BG55">
        <f t="shared" si="1"/>
        <v>3.8723253329809755E-3</v>
      </c>
    </row>
    <row r="56" spans="1:59" x14ac:dyDescent="0.25">
      <c r="A56" t="s">
        <v>133</v>
      </c>
      <c r="B56" t="s">
        <v>54</v>
      </c>
      <c r="C56">
        <v>6.3117366764606355E-5</v>
      </c>
      <c r="D56">
        <v>8.5576256771426606E-3</v>
      </c>
      <c r="E56">
        <v>2.9008164935763739E-3</v>
      </c>
      <c r="F56">
        <v>-1.1166947000750686E-3</v>
      </c>
      <c r="G56">
        <v>-3.151915247303713E-3</v>
      </c>
      <c r="H56">
        <f>RESULTADOS_R!$T$4+(RESULTADOS_R!$T$5*C55)+(RESULTADOS_R!$T$6*C54)+(RESULTADOS_R!$T$7*C53)+(RESULTADOS_R!$T$8*C52)</f>
        <v>3.9206206617394066E-4</v>
      </c>
      <c r="I56">
        <f t="shared" si="4"/>
        <v>-3.2894469940933434E-4</v>
      </c>
      <c r="J56" s="3"/>
      <c r="K56" t="s">
        <v>133</v>
      </c>
      <c r="L56" t="s">
        <v>54</v>
      </c>
      <c r="M56">
        <v>1.1817538600549882E-3</v>
      </c>
      <c r="N56">
        <v>-9.4551478501362881E-4</v>
      </c>
      <c r="O56">
        <v>8.2727653480192903E-4</v>
      </c>
      <c r="P56">
        <v>-4.7281324757900205E-4</v>
      </c>
      <c r="Q56">
        <v>0</v>
      </c>
      <c r="R56">
        <v>-3.544632872229304E-4</v>
      </c>
      <c r="S56">
        <f>RESULTADOS_R!$T$9+(RESULTADOS_R!$T$10*M55)+(RESULTADOS_R!$T$11*M54)+(RESULTADOS_R!$T$12*M53)+(RESULTADOS_R!$T$13*M52)+(RESULTADOS_R!$T$14*M51)</f>
        <v>2.5419569150528384E-4</v>
      </c>
      <c r="T56">
        <f t="shared" si="6"/>
        <v>9.2755816854970434E-4</v>
      </c>
      <c r="U56" s="3"/>
      <c r="V56" t="s">
        <v>133</v>
      </c>
      <c r="W56" t="s">
        <v>54</v>
      </c>
      <c r="X56">
        <v>3.6588654833210141E-3</v>
      </c>
      <c r="Y56">
        <v>3.5555015828312576E-3</v>
      </c>
      <c r="Z56">
        <v>-8.3740231663729185E-3</v>
      </c>
      <c r="AA56">
        <f>RESULTADOS_R!$T$15+(RESULTADOS_R!$T$16*'EV1-ER-AR'!X55)+(RESULTADOS_R!$T$17*'EV1-ER-AR'!X54)</f>
        <v>4.3569558996571483E-3</v>
      </c>
      <c r="AB56">
        <f t="shared" si="2"/>
        <v>-6.9809041633613414E-4</v>
      </c>
      <c r="AC56" s="3"/>
      <c r="AD56" t="s">
        <v>133</v>
      </c>
      <c r="AE56" t="s">
        <v>54</v>
      </c>
      <c r="AF56">
        <v>-4.5381007201815097E-3</v>
      </c>
      <c r="AG56">
        <f>RESULTADOS_R!$T$18</f>
        <v>4.3639999999999998E-3</v>
      </c>
      <c r="AH56">
        <f t="shared" si="0"/>
        <v>-8.9021007201815095E-3</v>
      </c>
      <c r="AI56" s="3"/>
      <c r="AJ56" t="s">
        <v>133</v>
      </c>
      <c r="AK56" t="s">
        <v>54</v>
      </c>
      <c r="AL56">
        <v>4.3324211129227705E-3</v>
      </c>
      <c r="AM56">
        <v>-3.6817192130948868E-3</v>
      </c>
      <c r="AN56">
        <v>7.2404418300889709E-3</v>
      </c>
      <c r="AO56">
        <v>1.5173265162475953E-3</v>
      </c>
      <c r="AP56">
        <v>1.5264827127711015E-3</v>
      </c>
      <c r="AQ56">
        <f>RESULTADOS_R!$T$19+(RESULTADOS_R!$T$20*AL55)+(RESULTADOS_R!$T$21*AL54)+(RESULTADOS_R!$T$22*AL53)+(RESULTADOS_R!$T$23*AL52)</f>
        <v>6.7230275554279375E-4</v>
      </c>
      <c r="AR56">
        <f t="shared" si="5"/>
        <v>3.6601183573799767E-3</v>
      </c>
      <c r="AS56" s="3"/>
      <c r="AT56" t="s">
        <v>133</v>
      </c>
      <c r="AU56" t="s">
        <v>54</v>
      </c>
      <c r="AV56">
        <v>3.4851953391247694E-4</v>
      </c>
      <c r="AW56">
        <v>4.3400712917978229E-3</v>
      </c>
      <c r="AX56">
        <v>1.1818563565163812E-2</v>
      </c>
      <c r="AY56">
        <f>RESULTADOS_R!$T$24+(RESULTADOS_R!$T$25*AV55)+(RESULTADOS_R!$T$26*AV54)</f>
        <v>-5.751427474556712E-4</v>
      </c>
      <c r="AZ56">
        <f t="shared" si="3"/>
        <v>9.2366228136814819E-4</v>
      </c>
      <c r="BA56" s="3"/>
      <c r="BB56" t="s">
        <v>133</v>
      </c>
      <c r="BC56" t="s">
        <v>54</v>
      </c>
      <c r="BD56">
        <v>-2.3128052289421441E-3</v>
      </c>
      <c r="BE56">
        <v>3.2806302723126994E-3</v>
      </c>
      <c r="BF56">
        <f>RESULTADOS_R!$T$27+(RESULTADOS_R!$T$28*BD55)</f>
        <v>6.9164896433991717E-4</v>
      </c>
      <c r="BG56">
        <f t="shared" si="1"/>
        <v>-3.0044541932820615E-3</v>
      </c>
    </row>
    <row r="57" spans="1:59" x14ac:dyDescent="0.25">
      <c r="A57" t="s">
        <v>133</v>
      </c>
      <c r="B57" t="s">
        <v>55</v>
      </c>
      <c r="C57">
        <v>7.1067246686200769E-3</v>
      </c>
      <c r="D57">
        <v>6.3117366764606355E-5</v>
      </c>
      <c r="E57">
        <v>8.5576256771426606E-3</v>
      </c>
      <c r="F57">
        <v>2.9008164935763739E-3</v>
      </c>
      <c r="G57">
        <v>-1.1166947000750686E-3</v>
      </c>
      <c r="H57">
        <f>RESULTADOS_R!$T$4+(RESULTADOS_R!$T$5*C56)+(RESULTADOS_R!$T$6*C55)+(RESULTADOS_R!$T$7*C54)+(RESULTADOS_R!$T$8*C53)</f>
        <v>-2.9195487006445525E-4</v>
      </c>
      <c r="I57">
        <f t="shared" si="4"/>
        <v>7.3986795386845319E-3</v>
      </c>
      <c r="J57" s="3"/>
      <c r="K57" t="s">
        <v>133</v>
      </c>
      <c r="L57" t="s">
        <v>55</v>
      </c>
      <c r="M57">
        <v>-5.907023622643584E-4</v>
      </c>
      <c r="N57">
        <v>1.1817538600549882E-3</v>
      </c>
      <c r="O57">
        <v>-9.4551478501362881E-4</v>
      </c>
      <c r="P57">
        <v>8.2727653480192903E-4</v>
      </c>
      <c r="Q57">
        <v>-4.7281324757900205E-4</v>
      </c>
      <c r="R57">
        <v>0</v>
      </c>
      <c r="S57">
        <f>RESULTADOS_R!$T$9+(RESULTADOS_R!$T$10*M56)+(RESULTADOS_R!$T$11*M55)+(RESULTADOS_R!$T$12*M54)+(RESULTADOS_R!$T$13*M53)+(RESULTADOS_R!$T$14*M52)</f>
        <v>-3.4860947353284769E-4</v>
      </c>
      <c r="T57">
        <f t="shared" si="6"/>
        <v>-2.4209288873151071E-4</v>
      </c>
      <c r="U57" s="3"/>
      <c r="V57" t="s">
        <v>133</v>
      </c>
      <c r="W57" t="s">
        <v>55</v>
      </c>
      <c r="X57">
        <v>-4.7495231453357517E-2</v>
      </c>
      <c r="Y57">
        <v>3.6588654833210141E-3</v>
      </c>
      <c r="Z57">
        <v>3.5555015828312576E-3</v>
      </c>
      <c r="AA57">
        <f>RESULTADOS_R!$T$15+(RESULTADOS_R!$T$16*'EV1-ER-AR'!X56)+(RESULTADOS_R!$T$17*'EV1-ER-AR'!X55)</f>
        <v>1.7029809363367861E-3</v>
      </c>
      <c r="AB57">
        <f t="shared" si="2"/>
        <v>-4.9198212389694303E-2</v>
      </c>
      <c r="AC57" s="3"/>
      <c r="AD57" t="s">
        <v>133</v>
      </c>
      <c r="AE57" t="s">
        <v>55</v>
      </c>
      <c r="AF57">
        <v>-8.1397309233209467E-2</v>
      </c>
      <c r="AG57">
        <f>RESULTADOS_R!$T$18</f>
        <v>4.3639999999999998E-3</v>
      </c>
      <c r="AH57">
        <f t="shared" si="0"/>
        <v>-8.576130923320946E-2</v>
      </c>
      <c r="AI57" s="3"/>
      <c r="AJ57" t="s">
        <v>133</v>
      </c>
      <c r="AK57" t="s">
        <v>55</v>
      </c>
      <c r="AL57">
        <v>2.980969243567208E-4</v>
      </c>
      <c r="AM57">
        <v>4.3324211129227705E-3</v>
      </c>
      <c r="AN57">
        <v>-3.6817192130948868E-3</v>
      </c>
      <c r="AO57">
        <v>7.2404418300889709E-3</v>
      </c>
      <c r="AP57">
        <v>1.5173265162475953E-3</v>
      </c>
      <c r="AQ57">
        <f>RESULTADOS_R!$T$19+(RESULTADOS_R!$T$20*AL56)+(RESULTADOS_R!$T$21*AL55)+(RESULTADOS_R!$T$22*AL54)+(RESULTADOS_R!$T$23*AL53)</f>
        <v>-3.1289332024297343E-4</v>
      </c>
      <c r="AR57">
        <f t="shared" si="5"/>
        <v>6.1099024459969429E-4</v>
      </c>
      <c r="AS57" s="3"/>
      <c r="AT57" t="s">
        <v>133</v>
      </c>
      <c r="AU57" t="s">
        <v>55</v>
      </c>
      <c r="AV57">
        <v>5.8358649249339676E-3</v>
      </c>
      <c r="AW57">
        <v>3.4851953391247694E-4</v>
      </c>
      <c r="AX57">
        <v>4.3400712917978229E-3</v>
      </c>
      <c r="AY57">
        <f>RESULTADOS_R!$T$24+(RESULTADOS_R!$T$25*AV56)+(RESULTADOS_R!$T$26*AV55)</f>
        <v>3.7556299024833409E-4</v>
      </c>
      <c r="AZ57">
        <f t="shared" si="3"/>
        <v>5.4603019346856334E-3</v>
      </c>
      <c r="BA57" s="3"/>
      <c r="BB57" t="s">
        <v>133</v>
      </c>
      <c r="BC57" t="s">
        <v>55</v>
      </c>
      <c r="BD57">
        <v>-1.575768513049853E-3</v>
      </c>
      <c r="BE57">
        <v>-2.3128052289421441E-3</v>
      </c>
      <c r="BF57">
        <f>RESULTADOS_R!$T$27+(RESULTADOS_R!$T$28*BD56)</f>
        <v>-3.756735114277538E-4</v>
      </c>
      <c r="BG57">
        <f t="shared" si="1"/>
        <v>-1.2000950016220991E-3</v>
      </c>
    </row>
    <row r="58" spans="1:59" x14ac:dyDescent="0.25">
      <c r="A58" t="s">
        <v>133</v>
      </c>
      <c r="B58" t="s">
        <v>56</v>
      </c>
      <c r="C58">
        <v>3.4461693036749724E-4</v>
      </c>
      <c r="D58">
        <v>7.1067246686200769E-3</v>
      </c>
      <c r="E58">
        <v>6.3117366764606355E-5</v>
      </c>
      <c r="F58">
        <v>8.5576256771426606E-3</v>
      </c>
      <c r="G58">
        <v>2.9008164935763739E-3</v>
      </c>
      <c r="H58">
        <f>RESULTADOS_R!$T$4+(RESULTADOS_R!$T$5*C57)+(RESULTADOS_R!$T$6*C56)+(RESULTADOS_R!$T$7*C55)+(RESULTADOS_R!$T$8*C54)</f>
        <v>-3.5278908951921718E-4</v>
      </c>
      <c r="I58">
        <f t="shared" si="4"/>
        <v>6.9740601988671448E-4</v>
      </c>
      <c r="J58" s="3"/>
      <c r="K58" t="s">
        <v>133</v>
      </c>
      <c r="L58" t="s">
        <v>56</v>
      </c>
      <c r="M58">
        <v>2.3632281806788724E-4</v>
      </c>
      <c r="N58">
        <v>-5.907023622643584E-4</v>
      </c>
      <c r="O58">
        <v>1.1817538600549882E-3</v>
      </c>
      <c r="P58">
        <v>-9.4551478501362881E-4</v>
      </c>
      <c r="Q58">
        <v>8.2727653480192903E-4</v>
      </c>
      <c r="R58">
        <v>-4.7281324757900205E-4</v>
      </c>
      <c r="S58">
        <f>RESULTADOS_R!$T$9+(RESULTADOS_R!$T$10*M57)+(RESULTADOS_R!$T$11*M56)+(RESULTADOS_R!$T$12*M55)+(RESULTADOS_R!$T$13*M54)+(RESULTADOS_R!$T$14*M53)</f>
        <v>3.4447058740514946E-4</v>
      </c>
      <c r="T58">
        <f t="shared" si="6"/>
        <v>-1.0814776933726222E-4</v>
      </c>
      <c r="U58" s="3"/>
      <c r="V58" t="s">
        <v>133</v>
      </c>
      <c r="W58" t="s">
        <v>56</v>
      </c>
      <c r="X58">
        <v>-4.302811199342476E-2</v>
      </c>
      <c r="Y58">
        <v>-4.7495231453357517E-2</v>
      </c>
      <c r="Z58">
        <v>3.6588654833210141E-3</v>
      </c>
      <c r="AA58">
        <f>RESULTADOS_R!$T$15+(RESULTADOS_R!$T$16*'EV1-ER-AR'!X57)+(RESULTADOS_R!$T$17*'EV1-ER-AR'!X56)</f>
        <v>-1.0375046624860725E-2</v>
      </c>
      <c r="AB58">
        <f t="shared" si="2"/>
        <v>-3.2653065368564035E-2</v>
      </c>
      <c r="AC58" s="3"/>
      <c r="AD58" t="s">
        <v>133</v>
      </c>
      <c r="AE58" t="s">
        <v>56</v>
      </c>
      <c r="AF58">
        <v>-8.5996533494827568E-2</v>
      </c>
      <c r="AG58">
        <f>RESULTADOS_R!$T$18</f>
        <v>4.3639999999999998E-3</v>
      </c>
      <c r="AH58">
        <f t="shared" si="0"/>
        <v>-9.0360533494827561E-2</v>
      </c>
      <c r="AI58" s="3"/>
      <c r="AJ58" t="s">
        <v>133</v>
      </c>
      <c r="AK58" t="s">
        <v>56</v>
      </c>
      <c r="AL58">
        <v>1.3546923175792035E-4</v>
      </c>
      <c r="AM58">
        <v>2.980969243567208E-4</v>
      </c>
      <c r="AN58">
        <v>4.3324211129227705E-3</v>
      </c>
      <c r="AO58">
        <v>-3.6817192130948868E-3</v>
      </c>
      <c r="AP58">
        <v>7.2404418300889709E-3</v>
      </c>
      <c r="AQ58">
        <f>RESULTADOS_R!$T$19+(RESULTADOS_R!$T$20*AL57)+(RESULTADOS_R!$T$21*AL56)+(RESULTADOS_R!$T$22*AL55)+(RESULTADOS_R!$T$23*AL54)</f>
        <v>2.3622823572610938E-3</v>
      </c>
      <c r="AR58">
        <f t="shared" si="5"/>
        <v>-2.2268131255031736E-3</v>
      </c>
      <c r="AS58" s="3"/>
      <c r="AT58" t="s">
        <v>133</v>
      </c>
      <c r="AU58" t="s">
        <v>56</v>
      </c>
      <c r="AV58">
        <v>-1.7042486920846292E-3</v>
      </c>
      <c r="AW58">
        <v>5.8358649249339676E-3</v>
      </c>
      <c r="AX58">
        <v>3.4851953391247694E-4</v>
      </c>
      <c r="AY58">
        <f>RESULTADOS_R!$T$24+(RESULTADOS_R!$T$25*AV57)+(RESULTADOS_R!$T$26*AV56)</f>
        <v>5.0171780571617135E-4</v>
      </c>
      <c r="AZ58">
        <f t="shared" si="3"/>
        <v>-2.2059664978008008E-3</v>
      </c>
      <c r="BA58" s="3"/>
      <c r="BB58" t="s">
        <v>133</v>
      </c>
      <c r="BC58" t="s">
        <v>56</v>
      </c>
      <c r="BD58">
        <v>2.0901876937097865E-3</v>
      </c>
      <c r="BE58">
        <v>-1.575768513049853E-3</v>
      </c>
      <c r="BF58">
        <f>RESULTADOS_R!$T$27+(RESULTADOS_R!$T$28*BD57)</f>
        <v>-2.3503439041503208E-4</v>
      </c>
      <c r="BG58">
        <f t="shared" si="1"/>
        <v>2.3252220841248187E-3</v>
      </c>
    </row>
    <row r="59" spans="1:59" x14ac:dyDescent="0.25">
      <c r="A59" t="s">
        <v>133</v>
      </c>
      <c r="B59" t="s">
        <v>57</v>
      </c>
      <c r="C59">
        <v>-4.3862398096546095E-4</v>
      </c>
      <c r="D59">
        <v>3.4461693036749724E-4</v>
      </c>
      <c r="E59">
        <v>7.1067246686200769E-3</v>
      </c>
      <c r="F59">
        <v>6.3117366764606355E-5</v>
      </c>
      <c r="G59">
        <v>8.5576256771426606E-3</v>
      </c>
      <c r="H59">
        <f>RESULTADOS_R!$T$4+(RESULTADOS_R!$T$5*C58)+(RESULTADOS_R!$T$6*C57)+(RESULTADOS_R!$T$7*C56)+(RESULTADOS_R!$T$8*C55)</f>
        <v>2.5244308601453189E-3</v>
      </c>
      <c r="I59">
        <f t="shared" si="4"/>
        <v>-2.9630548411107797E-3</v>
      </c>
      <c r="J59" s="3"/>
      <c r="K59" t="s">
        <v>133</v>
      </c>
      <c r="L59" t="s">
        <v>57</v>
      </c>
      <c r="M59">
        <v>1.181404691551414E-4</v>
      </c>
      <c r="N59">
        <v>2.3632281806788724E-4</v>
      </c>
      <c r="O59">
        <v>-5.907023622643584E-4</v>
      </c>
      <c r="P59">
        <v>1.1817538600549882E-3</v>
      </c>
      <c r="Q59">
        <v>-9.4551478501362881E-4</v>
      </c>
      <c r="R59">
        <v>8.2727653480192903E-4</v>
      </c>
      <c r="S59">
        <f>RESULTADOS_R!$T$9+(RESULTADOS_R!$T$10*M58)+(RESULTADOS_R!$T$11*M57)+(RESULTADOS_R!$T$12*M56)+(RESULTADOS_R!$T$13*M55)+(RESULTADOS_R!$T$14*M54)</f>
        <v>-3.7689092510619982E-4</v>
      </c>
      <c r="T59">
        <f t="shared" si="6"/>
        <v>4.9503139426134118E-4</v>
      </c>
      <c r="U59" s="3"/>
      <c r="V59" t="s">
        <v>133</v>
      </c>
      <c r="W59" t="s">
        <v>57</v>
      </c>
      <c r="X59">
        <v>9.1502028081338393E-2</v>
      </c>
      <c r="Y59">
        <v>-4.302811199342476E-2</v>
      </c>
      <c r="Z59">
        <v>-4.7495231453357517E-2</v>
      </c>
      <c r="AA59">
        <f>RESULTADOS_R!$T$15+(RESULTADOS_R!$T$16*'EV1-ER-AR'!X58)+(RESULTADOS_R!$T$17*'EV1-ER-AR'!X57)</f>
        <v>2.1624211112531572E-3</v>
      </c>
      <c r="AB59">
        <f t="shared" si="2"/>
        <v>8.9339606970085236E-2</v>
      </c>
      <c r="AC59" s="3"/>
      <c r="AD59" t="s">
        <v>133</v>
      </c>
      <c r="AE59" t="s">
        <v>57</v>
      </c>
      <c r="AF59">
        <v>8.2083342161437325E-2</v>
      </c>
      <c r="AG59">
        <f>RESULTADOS_R!$T$18</f>
        <v>4.3639999999999998E-3</v>
      </c>
      <c r="AH59">
        <f t="shared" si="0"/>
        <v>7.7719342161437333E-2</v>
      </c>
      <c r="AI59" s="3"/>
      <c r="AJ59" t="s">
        <v>133</v>
      </c>
      <c r="AK59" t="s">
        <v>57</v>
      </c>
      <c r="AL59">
        <v>-6.8430736877951853E-4</v>
      </c>
      <c r="AM59">
        <v>1.3546923175792035E-4</v>
      </c>
      <c r="AN59">
        <v>2.980969243567208E-4</v>
      </c>
      <c r="AO59">
        <v>4.3324211129227705E-3</v>
      </c>
      <c r="AP59">
        <v>-3.6817192130948868E-3</v>
      </c>
      <c r="AQ59">
        <f>RESULTADOS_R!$T$19+(RESULTADOS_R!$T$20*AL58)+(RESULTADOS_R!$T$21*AL57)+(RESULTADOS_R!$T$22*AL56)+(RESULTADOS_R!$T$23*AL55)</f>
        <v>-3.8088101776381322E-4</v>
      </c>
      <c r="AR59">
        <f t="shared" si="5"/>
        <v>-3.034263510157053E-4</v>
      </c>
      <c r="AS59" s="3"/>
      <c r="AT59" t="s">
        <v>133</v>
      </c>
      <c r="AU59" t="s">
        <v>57</v>
      </c>
      <c r="AV59">
        <v>2.8228320249553318E-4</v>
      </c>
      <c r="AW59">
        <v>-1.7042486920846292E-3</v>
      </c>
      <c r="AX59">
        <v>5.8358649249339676E-3</v>
      </c>
      <c r="AY59">
        <f>RESULTADOS_R!$T$24+(RESULTADOS_R!$T$25*AV58)+(RESULTADOS_R!$T$26*AV57)</f>
        <v>3.2810962381694367E-4</v>
      </c>
      <c r="AZ59">
        <f t="shared" si="3"/>
        <v>-4.582642132141049E-5</v>
      </c>
      <c r="BA59" s="3"/>
      <c r="BB59" t="s">
        <v>133</v>
      </c>
      <c r="BC59" t="s">
        <v>57</v>
      </c>
      <c r="BD59">
        <v>1.8291873439924735E-3</v>
      </c>
      <c r="BE59">
        <v>2.0901876937097865E-3</v>
      </c>
      <c r="BF59">
        <f>RESULTADOS_R!$T$27+(RESULTADOS_R!$T$28*BD58)</f>
        <v>4.6449230543705412E-4</v>
      </c>
      <c r="BG59">
        <f t="shared" si="1"/>
        <v>1.3646950385554195E-3</v>
      </c>
    </row>
    <row r="60" spans="1:59" x14ac:dyDescent="0.25">
      <c r="A60" t="s">
        <v>133</v>
      </c>
      <c r="B60" t="s">
        <v>58</v>
      </c>
      <c r="C60">
        <v>4.4712026337462782E-3</v>
      </c>
      <c r="D60">
        <v>-4.3862398096546095E-4</v>
      </c>
      <c r="E60">
        <v>3.4461693036749724E-4</v>
      </c>
      <c r="F60">
        <v>7.1067246686200769E-3</v>
      </c>
      <c r="G60">
        <v>6.3117366764606355E-5</v>
      </c>
      <c r="H60">
        <f>RESULTADOS_R!$T$4+(RESULTADOS_R!$T$5*C59)+(RESULTADOS_R!$T$6*C58)+(RESULTADOS_R!$T$7*C57)+(RESULTADOS_R!$T$8*C56)</f>
        <v>2.4006915772350739E-4</v>
      </c>
      <c r="I60">
        <f t="shared" si="4"/>
        <v>4.2311334760227704E-3</v>
      </c>
      <c r="J60" s="3"/>
      <c r="K60" t="s">
        <v>133</v>
      </c>
      <c r="L60" t="s">
        <v>58</v>
      </c>
      <c r="M60">
        <v>-1.4186076383081248E-3</v>
      </c>
      <c r="N60">
        <v>1.181404691551414E-4</v>
      </c>
      <c r="O60">
        <v>2.3632281806788724E-4</v>
      </c>
      <c r="P60">
        <v>-5.907023622643584E-4</v>
      </c>
      <c r="Q60">
        <v>1.1817538600549882E-3</v>
      </c>
      <c r="R60">
        <v>-9.4551478501362881E-4</v>
      </c>
      <c r="S60">
        <f>RESULTADOS_R!$T$9+(RESULTADOS_R!$T$10*M59)+(RESULTADOS_R!$T$11*M58)+(RESULTADOS_R!$T$12*M57)+(RESULTADOS_R!$T$13*M56)+(RESULTADOS_R!$T$14*M55)</f>
        <v>2.2278458854852048E-4</v>
      </c>
      <c r="T60">
        <f t="shared" si="6"/>
        <v>-1.6413922268566452E-3</v>
      </c>
      <c r="U60" s="3"/>
      <c r="V60" t="s">
        <v>133</v>
      </c>
      <c r="W60" t="s">
        <v>58</v>
      </c>
      <c r="X60">
        <v>-1.0215587344711577E-2</v>
      </c>
      <c r="Y60">
        <v>9.1502028081338393E-2</v>
      </c>
      <c r="Z60">
        <v>-4.302811199342476E-2</v>
      </c>
      <c r="AA60">
        <f>RESULTADOS_R!$T$15+(RESULTADOS_R!$T$16*'EV1-ER-AR'!X59)+(RESULTADOS_R!$T$17*'EV1-ER-AR'!X58)</f>
        <v>3.2862463939543736E-2</v>
      </c>
      <c r="AB60">
        <f t="shared" si="2"/>
        <v>-4.3078051284255313E-2</v>
      </c>
      <c r="AC60" s="3"/>
      <c r="AD60" t="s">
        <v>133</v>
      </c>
      <c r="AE60" t="s">
        <v>58</v>
      </c>
      <c r="AF60">
        <v>-2.8743388490005697E-2</v>
      </c>
      <c r="AG60">
        <f>RESULTADOS_R!$T$18</f>
        <v>4.3639999999999998E-3</v>
      </c>
      <c r="AH60">
        <f t="shared" si="0"/>
        <v>-3.3107388490005697E-2</v>
      </c>
      <c r="AI60" s="3"/>
      <c r="AJ60" t="s">
        <v>133</v>
      </c>
      <c r="AK60" t="s">
        <v>58</v>
      </c>
      <c r="AL60">
        <v>2.5113480718974087E-3</v>
      </c>
      <c r="AM60">
        <v>-6.8430736877951853E-4</v>
      </c>
      <c r="AN60">
        <v>1.3546923175792035E-4</v>
      </c>
      <c r="AO60">
        <v>2.980969243567208E-4</v>
      </c>
      <c r="AP60">
        <v>4.3324211129227705E-3</v>
      </c>
      <c r="AQ60">
        <f>RESULTADOS_R!$T$19+(RESULTADOS_R!$T$20*AL59)+(RESULTADOS_R!$T$21*AL58)+(RESULTADOS_R!$T$22*AL57)+(RESULTADOS_R!$T$23*AL56)</f>
        <v>1.0679463150895334E-3</v>
      </c>
      <c r="AR60">
        <f t="shared" si="5"/>
        <v>1.4434017568078752E-3</v>
      </c>
      <c r="AS60" s="3"/>
      <c r="AT60" t="s">
        <v>133</v>
      </c>
      <c r="AU60" t="s">
        <v>58</v>
      </c>
      <c r="AV60">
        <v>2.9298587442382036E-3</v>
      </c>
      <c r="AW60">
        <v>2.8228320249553318E-4</v>
      </c>
      <c r="AX60">
        <v>-1.7042486920846292E-3</v>
      </c>
      <c r="AY60">
        <f>RESULTADOS_R!$T$24+(RESULTADOS_R!$T$25*AV59)+(RESULTADOS_R!$T$26*AV58)</f>
        <v>9.8579797900026286E-4</v>
      </c>
      <c r="AZ60">
        <f t="shared" si="3"/>
        <v>1.9440607652379408E-3</v>
      </c>
      <c r="BA60" s="3"/>
      <c r="BB60" t="s">
        <v>133</v>
      </c>
      <c r="BC60" t="s">
        <v>58</v>
      </c>
      <c r="BD60">
        <v>-2.156289957476646E-4</v>
      </c>
      <c r="BE60">
        <v>1.8291873439924735E-3</v>
      </c>
      <c r="BF60">
        <f>RESULTADOS_R!$T$27+(RESULTADOS_R!$T$28*BD59)</f>
        <v>4.1468900666405227E-4</v>
      </c>
      <c r="BG60">
        <f t="shared" si="1"/>
        <v>-6.3031800241171681E-4</v>
      </c>
    </row>
    <row r="61" spans="1:59" x14ac:dyDescent="0.25">
      <c r="A61" t="s">
        <v>133</v>
      </c>
      <c r="B61" t="s">
        <v>59</v>
      </c>
      <c r="C61">
        <v>4.917073361914737E-3</v>
      </c>
      <c r="D61">
        <v>4.4712026337462782E-3</v>
      </c>
      <c r="E61">
        <v>-4.3862398096546095E-4</v>
      </c>
      <c r="F61">
        <v>3.4461693036749724E-4</v>
      </c>
      <c r="G61">
        <v>7.1067246686200769E-3</v>
      </c>
      <c r="H61">
        <f>RESULTADOS_R!$T$4+(RESULTADOS_R!$T$5*C60)+(RESULTADOS_R!$T$6*C59)+(RESULTADOS_R!$T$7*C58)+(RESULTADOS_R!$T$8*C57)</f>
        <v>2.972836124647482E-3</v>
      </c>
      <c r="I61">
        <f t="shared" si="4"/>
        <v>1.944237237267255E-3</v>
      </c>
      <c r="J61" s="3"/>
      <c r="K61" t="s">
        <v>133</v>
      </c>
      <c r="L61" t="s">
        <v>59</v>
      </c>
      <c r="M61">
        <v>0</v>
      </c>
      <c r="N61">
        <v>-1.4186076383081248E-3</v>
      </c>
      <c r="O61">
        <v>1.181404691551414E-4</v>
      </c>
      <c r="P61">
        <v>2.3632281806788724E-4</v>
      </c>
      <c r="Q61">
        <v>-5.907023622643584E-4</v>
      </c>
      <c r="R61">
        <v>1.1817538600549882E-3</v>
      </c>
      <c r="S61">
        <f>RESULTADOS_R!$T$9+(RESULTADOS_R!$T$10*M60)+(RESULTADOS_R!$T$11*M59)+(RESULTADOS_R!$T$12*M58)+(RESULTADOS_R!$T$13*M57)+(RESULTADOS_R!$T$14*M56)</f>
        <v>-2.0305569709055732E-6</v>
      </c>
      <c r="T61">
        <f t="shared" si="6"/>
        <v>2.0305569709055732E-6</v>
      </c>
      <c r="U61" s="3"/>
      <c r="V61" t="s">
        <v>133</v>
      </c>
      <c r="W61" t="s">
        <v>59</v>
      </c>
      <c r="X61">
        <v>2.2150056025622626E-3</v>
      </c>
      <c r="Y61">
        <v>-1.0215587344711577E-2</v>
      </c>
      <c r="Z61">
        <v>9.1502028081338393E-2</v>
      </c>
      <c r="AA61">
        <f>RESULTADOS_R!$T$15+(RESULTADOS_R!$T$16*'EV1-ER-AR'!X60)+(RESULTADOS_R!$T$17*'EV1-ER-AR'!X59)</f>
        <v>-2.1311769497518222E-2</v>
      </c>
      <c r="AB61">
        <f t="shared" si="2"/>
        <v>2.3526775100080485E-2</v>
      </c>
      <c r="AC61" s="3"/>
      <c r="AD61" t="s">
        <v>133</v>
      </c>
      <c r="AE61" t="s">
        <v>59</v>
      </c>
      <c r="AF61">
        <v>-1.9744022823642952E-3</v>
      </c>
      <c r="AG61">
        <f>RESULTADOS_R!$T$18</f>
        <v>4.3639999999999998E-3</v>
      </c>
      <c r="AH61">
        <f t="shared" si="0"/>
        <v>-6.3384022823642951E-3</v>
      </c>
      <c r="AI61" s="3"/>
      <c r="AJ61" t="s">
        <v>133</v>
      </c>
      <c r="AK61" t="s">
        <v>59</v>
      </c>
      <c r="AL61">
        <v>-6.424670956614979E-4</v>
      </c>
      <c r="AM61">
        <v>2.5113480718974087E-3</v>
      </c>
      <c r="AN61">
        <v>-6.8430736877951853E-4</v>
      </c>
      <c r="AO61">
        <v>1.3546923175792035E-4</v>
      </c>
      <c r="AP61">
        <v>2.980969243567208E-4</v>
      </c>
      <c r="AQ61">
        <f>RESULTADOS_R!$T$19+(RESULTADOS_R!$T$20*AL60)+(RESULTADOS_R!$T$21*AL59)+(RESULTADOS_R!$T$22*AL58)+(RESULTADOS_R!$T$23*AL57)</f>
        <v>9.234984782363736E-4</v>
      </c>
      <c r="AR61">
        <f t="shared" si="5"/>
        <v>-1.5659655738978714E-3</v>
      </c>
      <c r="AS61" s="3"/>
      <c r="AT61" t="s">
        <v>133</v>
      </c>
      <c r="AU61" t="s">
        <v>59</v>
      </c>
      <c r="AV61">
        <v>7.9418794611038675E-3</v>
      </c>
      <c r="AW61">
        <v>2.9298587442382036E-3</v>
      </c>
      <c r="AX61">
        <v>2.8228320249553318E-4</v>
      </c>
      <c r="AY61">
        <f>RESULTADOS_R!$T$24+(RESULTADOS_R!$T$25*AV60)+(RESULTADOS_R!$T$26*AV59)</f>
        <v>6.5381518287755411E-4</v>
      </c>
      <c r="AZ61">
        <f t="shared" si="3"/>
        <v>7.2880642782263139E-3</v>
      </c>
      <c r="BA61" s="3"/>
      <c r="BB61" t="s">
        <v>133</v>
      </c>
      <c r="BC61" t="s">
        <v>59</v>
      </c>
      <c r="BD61">
        <v>3.188618012109391E-3</v>
      </c>
      <c r="BE61">
        <v>-2.156289957476646E-4</v>
      </c>
      <c r="BF61">
        <f>RESULTADOS_R!$T$27+(RESULTADOS_R!$T$28*BD60)</f>
        <v>2.45033260153688E-5</v>
      </c>
      <c r="BG61">
        <f t="shared" si="1"/>
        <v>3.1641146860940223E-3</v>
      </c>
    </row>
    <row r="62" spans="1:59" x14ac:dyDescent="0.25">
      <c r="A62" t="s">
        <v>133</v>
      </c>
      <c r="B62" t="s">
        <v>60</v>
      </c>
      <c r="C62">
        <v>8.688637051291494E-4</v>
      </c>
      <c r="D62">
        <v>4.917073361914737E-3</v>
      </c>
      <c r="E62">
        <v>4.4712026337462782E-3</v>
      </c>
      <c r="F62">
        <v>-4.3862398096546095E-4</v>
      </c>
      <c r="G62">
        <v>3.4461693036749724E-4</v>
      </c>
      <c r="H62">
        <f>RESULTADOS_R!$T$4+(RESULTADOS_R!$T$5*C61)+(RESULTADOS_R!$T$6*C60)+(RESULTADOS_R!$T$7*C59)+(RESULTADOS_R!$T$8*C58)</f>
        <v>1.0186223881550819E-3</v>
      </c>
      <c r="I62">
        <f t="shared" si="4"/>
        <v>-1.4975868302593252E-4</v>
      </c>
      <c r="J62" s="3"/>
      <c r="K62" t="s">
        <v>133</v>
      </c>
      <c r="L62" t="s">
        <v>60</v>
      </c>
      <c r="M62">
        <v>-2.3663038444527825E-4</v>
      </c>
      <c r="N62">
        <v>0</v>
      </c>
      <c r="O62">
        <v>-1.4186076383081248E-3</v>
      </c>
      <c r="P62">
        <v>1.181404691551414E-4</v>
      </c>
      <c r="Q62">
        <v>2.3632281806788724E-4</v>
      </c>
      <c r="R62">
        <v>-5.907023622643584E-4</v>
      </c>
      <c r="S62">
        <f>RESULTADOS_R!$T$9+(RESULTADOS_R!$T$10*M61)+(RESULTADOS_R!$T$11*M60)+(RESULTADOS_R!$T$12*M59)+(RESULTADOS_R!$T$13*M58)+(RESULTADOS_R!$T$14*M57)</f>
        <v>-6.3996371085988803E-6</v>
      </c>
      <c r="T62">
        <f t="shared" si="6"/>
        <v>-2.3023074733667938E-4</v>
      </c>
      <c r="U62" s="3"/>
      <c r="V62" t="s">
        <v>133</v>
      </c>
      <c r="W62" t="s">
        <v>60</v>
      </c>
      <c r="X62">
        <v>1.8774766641929085E-2</v>
      </c>
      <c r="Y62">
        <v>2.2150056025622626E-3</v>
      </c>
      <c r="Z62">
        <v>-1.0215587344711577E-2</v>
      </c>
      <c r="AA62">
        <f>RESULTADOS_R!$T$15+(RESULTADOS_R!$T$16*'EV1-ER-AR'!X61)+(RESULTADOS_R!$T$17*'EV1-ER-AR'!X60)</f>
        <v>4.4545137368062447E-3</v>
      </c>
      <c r="AB62">
        <f t="shared" si="2"/>
        <v>1.432025290512284E-2</v>
      </c>
      <c r="AC62" s="3"/>
      <c r="AD62" t="s">
        <v>133</v>
      </c>
      <c r="AE62" t="s">
        <v>60</v>
      </c>
      <c r="AF62">
        <v>-3.5079263499366419E-3</v>
      </c>
      <c r="AG62">
        <f>RESULTADOS_R!$T$18</f>
        <v>4.3639999999999998E-3</v>
      </c>
      <c r="AH62">
        <f t="shared" si="0"/>
        <v>-7.8719263499366417E-3</v>
      </c>
      <c r="AI62" s="3"/>
      <c r="AJ62" t="s">
        <v>133</v>
      </c>
      <c r="AK62" t="s">
        <v>60</v>
      </c>
      <c r="AL62">
        <v>4.9397479415537824E-3</v>
      </c>
      <c r="AM62">
        <v>-6.424670956614979E-4</v>
      </c>
      <c r="AN62">
        <v>2.5113480718974087E-3</v>
      </c>
      <c r="AO62">
        <v>-6.8430736877951853E-4</v>
      </c>
      <c r="AP62">
        <v>1.3546923175792035E-4</v>
      </c>
      <c r="AQ62">
        <f>RESULTADOS_R!$T$19+(RESULTADOS_R!$T$20*AL61)+(RESULTADOS_R!$T$21*AL60)+(RESULTADOS_R!$T$22*AL59)+(RESULTADOS_R!$T$23*AL58)</f>
        <v>9.730113339182125E-4</v>
      </c>
      <c r="AR62">
        <f t="shared" si="5"/>
        <v>3.9667366076355697E-3</v>
      </c>
      <c r="AS62" s="3"/>
      <c r="AT62" t="s">
        <v>133</v>
      </c>
      <c r="AU62" t="s">
        <v>60</v>
      </c>
      <c r="AV62">
        <v>1.3283492397805463E-2</v>
      </c>
      <c r="AW62">
        <v>7.9418794611038675E-3</v>
      </c>
      <c r="AX62">
        <v>2.9298587442382036E-3</v>
      </c>
      <c r="AY62">
        <f>RESULTADOS_R!$T$24+(RESULTADOS_R!$T$25*AV61)+(RESULTADOS_R!$T$26*AV60)</f>
        <v>1.371147461249643E-4</v>
      </c>
      <c r="AZ62">
        <f t="shared" si="3"/>
        <v>1.3146377651680499E-2</v>
      </c>
      <c r="BA62" s="3"/>
      <c r="BB62" t="s">
        <v>133</v>
      </c>
      <c r="BC62" t="s">
        <v>60</v>
      </c>
      <c r="BD62">
        <v>-3.2762045463710757E-4</v>
      </c>
      <c r="BE62">
        <v>3.188618012109391E-3</v>
      </c>
      <c r="BF62">
        <f>RESULTADOS_R!$T$27+(RESULTADOS_R!$T$28*BD61)</f>
        <v>6.7409146263293536E-4</v>
      </c>
      <c r="BG62">
        <f t="shared" si="1"/>
        <v>-1.0017119172700429E-3</v>
      </c>
    </row>
    <row r="63" spans="1:59" x14ac:dyDescent="0.25">
      <c r="A63" t="s">
        <v>133</v>
      </c>
      <c r="B63" t="s">
        <v>61</v>
      </c>
      <c r="C63">
        <v>-1.8612153790119857E-4</v>
      </c>
      <c r="D63">
        <v>8.688637051291494E-4</v>
      </c>
      <c r="E63">
        <v>4.917073361914737E-3</v>
      </c>
      <c r="F63">
        <v>4.4712026337462782E-3</v>
      </c>
      <c r="G63">
        <v>-4.3862398096546095E-4</v>
      </c>
      <c r="H63">
        <f>RESULTADOS_R!$T$4+(RESULTADOS_R!$T$5*C62)+(RESULTADOS_R!$T$6*C61)+(RESULTADOS_R!$T$7*C60)+(RESULTADOS_R!$T$8*C59)</f>
        <v>-5.9094901897541242E-5</v>
      </c>
      <c r="I63">
        <f t="shared" si="4"/>
        <v>-1.2702663600365732E-4</v>
      </c>
      <c r="J63" s="3"/>
      <c r="K63" t="s">
        <v>133</v>
      </c>
      <c r="L63" t="s">
        <v>61</v>
      </c>
      <c r="M63">
        <v>1.1832219146483563E-4</v>
      </c>
      <c r="N63">
        <v>-2.3663038444527825E-4</v>
      </c>
      <c r="O63">
        <v>0</v>
      </c>
      <c r="P63">
        <v>-1.4186076383081248E-3</v>
      </c>
      <c r="Q63">
        <v>1.181404691551414E-4</v>
      </c>
      <c r="R63">
        <v>2.3632281806788724E-4</v>
      </c>
      <c r="S63">
        <f>RESULTADOS_R!$T$9+(RESULTADOS_R!$T$10*M62)+(RESULTADOS_R!$T$11*M61)+(RESULTADOS_R!$T$12*M60)+(RESULTADOS_R!$T$13*M59)+(RESULTADOS_R!$T$14*M58)</f>
        <v>2.4889094535195827E-4</v>
      </c>
      <c r="T63">
        <f t="shared" si="6"/>
        <v>-1.3056875388712264E-4</v>
      </c>
      <c r="U63" s="3"/>
      <c r="V63" t="s">
        <v>133</v>
      </c>
      <c r="W63" t="s">
        <v>61</v>
      </c>
      <c r="X63">
        <v>-4.5095382881891362E-3</v>
      </c>
      <c r="Y63">
        <v>1.8774766641929085E-2</v>
      </c>
      <c r="Z63">
        <v>2.2150056025622626E-3</v>
      </c>
      <c r="AA63">
        <f>RESULTADOS_R!$T$15+(RESULTADOS_R!$T$16*'EV1-ER-AR'!X62)+(RESULTADOS_R!$T$17*'EV1-ER-AR'!X61)</f>
        <v>5.5661076296890204E-3</v>
      </c>
      <c r="AB63">
        <f t="shared" si="2"/>
        <v>-1.0075645917878157E-2</v>
      </c>
      <c r="AC63" s="3"/>
      <c r="AD63" t="s">
        <v>133</v>
      </c>
      <c r="AE63" t="s">
        <v>61</v>
      </c>
      <c r="AF63">
        <v>3.4912135890969994E-3</v>
      </c>
      <c r="AG63">
        <f>RESULTADOS_R!$T$18</f>
        <v>4.3639999999999998E-3</v>
      </c>
      <c r="AH63">
        <f t="shared" si="0"/>
        <v>-8.7278641090300039E-4</v>
      </c>
      <c r="AI63" s="3"/>
      <c r="AJ63" t="s">
        <v>133</v>
      </c>
      <c r="AK63" t="s">
        <v>61</v>
      </c>
      <c r="AL63">
        <v>9.4068524339906492E-3</v>
      </c>
      <c r="AM63">
        <v>4.9397479415537824E-3</v>
      </c>
      <c r="AN63">
        <v>-6.424670956614979E-4</v>
      </c>
      <c r="AO63">
        <v>2.5113480718974087E-3</v>
      </c>
      <c r="AP63">
        <v>-6.8430736877951853E-4</v>
      </c>
      <c r="AQ63">
        <f>RESULTADOS_R!$T$19+(RESULTADOS_R!$T$20*AL62)+(RESULTADOS_R!$T$21*AL61)+(RESULTADOS_R!$T$22*AL60)+(RESULTADOS_R!$T$23*AL59)</f>
        <v>5.6411926164947853E-4</v>
      </c>
      <c r="AR63">
        <f t="shared" si="5"/>
        <v>8.842733172341171E-3</v>
      </c>
      <c r="AS63" s="3"/>
      <c r="AT63" t="s">
        <v>133</v>
      </c>
      <c r="AU63" t="s">
        <v>61</v>
      </c>
      <c r="AV63">
        <v>2.0598670790759097E-2</v>
      </c>
      <c r="AW63">
        <v>1.3283492397805463E-2</v>
      </c>
      <c r="AX63">
        <v>7.9418794611038675E-3</v>
      </c>
      <c r="AY63">
        <f>RESULTADOS_R!$T$24+(RESULTADOS_R!$T$25*AV62)+(RESULTADOS_R!$T$26*AV61)</f>
        <v>-6.3349960325445988E-4</v>
      </c>
      <c r="AZ63">
        <f t="shared" si="3"/>
        <v>2.1232170394013556E-2</v>
      </c>
      <c r="BA63" s="3"/>
      <c r="BB63" t="s">
        <v>133</v>
      </c>
      <c r="BC63" t="s">
        <v>61</v>
      </c>
      <c r="BD63">
        <v>-4.096010486364089E-5</v>
      </c>
      <c r="BE63">
        <v>-3.2762045463710757E-4</v>
      </c>
      <c r="BF63">
        <f>RESULTADOS_R!$T$27+(RESULTADOS_R!$T$28*BD62)</f>
        <v>3.1334539322996793E-6</v>
      </c>
      <c r="BG63">
        <f t="shared" si="1"/>
        <v>-4.409355879594057E-5</v>
      </c>
    </row>
    <row r="64" spans="1:59" x14ac:dyDescent="0.25">
      <c r="A64" t="s">
        <v>133</v>
      </c>
      <c r="B64" t="s">
        <v>62</v>
      </c>
      <c r="C64">
        <v>5.1057620239174217E-3</v>
      </c>
      <c r="D64">
        <v>-1.8612153790119857E-4</v>
      </c>
      <c r="E64">
        <v>8.688637051291494E-4</v>
      </c>
      <c r="F64">
        <v>4.917073361914737E-3</v>
      </c>
      <c r="G64">
        <v>4.4712026337462782E-3</v>
      </c>
      <c r="H64">
        <f>RESULTADOS_R!$T$4+(RESULTADOS_R!$T$5*C63)+(RESULTADOS_R!$T$6*C62)+(RESULTADOS_R!$T$7*C61)+(RESULTADOS_R!$T$8*C60)</f>
        <v>1.5496967185066259E-3</v>
      </c>
      <c r="I64">
        <f t="shared" si="4"/>
        <v>3.5560653054107958E-3</v>
      </c>
      <c r="J64" s="3"/>
      <c r="K64" t="s">
        <v>133</v>
      </c>
      <c r="L64" t="s">
        <v>62</v>
      </c>
      <c r="M64">
        <v>3.5488259673333456E-4</v>
      </c>
      <c r="N64">
        <v>1.1832219146483563E-4</v>
      </c>
      <c r="O64">
        <v>-2.3663038444527825E-4</v>
      </c>
      <c r="P64">
        <v>0</v>
      </c>
      <c r="Q64">
        <v>-1.4186076383081248E-3</v>
      </c>
      <c r="R64">
        <v>1.181404691551414E-4</v>
      </c>
      <c r="S64">
        <f>RESULTADOS_R!$T$9+(RESULTADOS_R!$T$10*M63)+(RESULTADOS_R!$T$11*M62)+(RESULTADOS_R!$T$12*M61)+(RESULTADOS_R!$T$13*M60)+(RESULTADOS_R!$T$14*M59)</f>
        <v>-9.5187572919160351E-5</v>
      </c>
      <c r="T64">
        <f t="shared" si="6"/>
        <v>4.5007016965249491E-4</v>
      </c>
      <c r="U64" s="3"/>
      <c r="V64" t="s">
        <v>133</v>
      </c>
      <c r="W64" t="s">
        <v>62</v>
      </c>
      <c r="X64">
        <v>-1.1477712357131341E-2</v>
      </c>
      <c r="Y64">
        <v>-4.5095382881891362E-3</v>
      </c>
      <c r="Z64">
        <v>1.8774766641929085E-2</v>
      </c>
      <c r="AA64">
        <f>RESULTADOS_R!$T$15+(RESULTADOS_R!$T$16*'EV1-ER-AR'!X63)+(RESULTADOS_R!$T$17*'EV1-ER-AR'!X62)</f>
        <v>-3.6388834474592115E-3</v>
      </c>
      <c r="AB64">
        <f t="shared" si="2"/>
        <v>-7.8388289096721301E-3</v>
      </c>
      <c r="AC64" s="3"/>
      <c r="AD64" t="s">
        <v>133</v>
      </c>
      <c r="AE64" t="s">
        <v>62</v>
      </c>
      <c r="AF64">
        <v>-2.1162921664128566E-2</v>
      </c>
      <c r="AG64">
        <f>RESULTADOS_R!$T$18</f>
        <v>4.3639999999999998E-3</v>
      </c>
      <c r="AH64">
        <f t="shared" si="0"/>
        <v>-2.5526921664128566E-2</v>
      </c>
      <c r="AI64" s="3"/>
      <c r="AJ64" t="s">
        <v>133</v>
      </c>
      <c r="AK64" t="s">
        <v>62</v>
      </c>
      <c r="AL64">
        <v>7.9638826681903974E-3</v>
      </c>
      <c r="AM64">
        <v>9.4068524339906492E-3</v>
      </c>
      <c r="AN64">
        <v>4.9397479415537824E-3</v>
      </c>
      <c r="AO64">
        <v>-6.424670956614979E-4</v>
      </c>
      <c r="AP64">
        <v>2.5113480718974087E-3</v>
      </c>
      <c r="AQ64">
        <f>RESULTADOS_R!$T$19+(RESULTADOS_R!$T$20*AL63)+(RESULTADOS_R!$T$21*AL62)+(RESULTADOS_R!$T$22*AL61)+(RESULTADOS_R!$T$23*AL60)</f>
        <v>2.0533525928001133E-3</v>
      </c>
      <c r="AR64">
        <f t="shared" si="5"/>
        <v>5.9105300753902841E-3</v>
      </c>
      <c r="AS64" s="3"/>
      <c r="AT64" t="s">
        <v>133</v>
      </c>
      <c r="AU64" t="s">
        <v>62</v>
      </c>
      <c r="AV64">
        <v>5.6796512779090386E-3</v>
      </c>
      <c r="AW64">
        <v>2.0598670790759097E-2</v>
      </c>
      <c r="AX64">
        <v>1.3283492397805463E-2</v>
      </c>
      <c r="AY64">
        <f>RESULTADOS_R!$T$24+(RESULTADOS_R!$T$25*AV63)+(RESULTADOS_R!$T$26*AV62)</f>
        <v>-1.535986377930213E-3</v>
      </c>
      <c r="AZ64">
        <f t="shared" si="3"/>
        <v>7.2156376558392514E-3</v>
      </c>
      <c r="BA64" s="3"/>
      <c r="BB64" t="s">
        <v>133</v>
      </c>
      <c r="BC64" t="s">
        <v>62</v>
      </c>
      <c r="BD64">
        <v>-1.2295839408032457E-3</v>
      </c>
      <c r="BE64">
        <v>-4.096010486364089E-5</v>
      </c>
      <c r="BF64">
        <f>RESULTADOS_R!$T$27+(RESULTADOS_R!$T$28*BD63)</f>
        <v>5.7833116448476621E-5</v>
      </c>
      <c r="BG64">
        <f t="shared" si="1"/>
        <v>-1.2874170572517224E-3</v>
      </c>
    </row>
    <row r="65" spans="1:59" x14ac:dyDescent="0.25">
      <c r="A65" t="s">
        <v>133</v>
      </c>
      <c r="B65" t="s">
        <v>63</v>
      </c>
      <c r="C65">
        <v>3.0864673839874769E-5</v>
      </c>
      <c r="D65">
        <v>5.1057620239174217E-3</v>
      </c>
      <c r="E65">
        <v>-1.8612153790119857E-4</v>
      </c>
      <c r="F65">
        <v>8.688637051291494E-4</v>
      </c>
      <c r="G65">
        <v>4.917073361914737E-3</v>
      </c>
      <c r="H65">
        <f>RESULTADOS_R!$T$4+(RESULTADOS_R!$T$5*C64)+(RESULTADOS_R!$T$6*C63)+(RESULTADOS_R!$T$7*C62)+(RESULTADOS_R!$T$8*C61)</f>
        <v>2.3041943460166722E-3</v>
      </c>
      <c r="I65">
        <f t="shared" si="4"/>
        <v>-2.2733296721767974E-3</v>
      </c>
      <c r="J65" s="3"/>
      <c r="K65" t="s">
        <v>133</v>
      </c>
      <c r="L65" t="s">
        <v>63</v>
      </c>
      <c r="M65">
        <v>7.0938759182020939E-4</v>
      </c>
      <c r="N65">
        <v>3.5488259673333456E-4</v>
      </c>
      <c r="O65">
        <v>1.1832219146483563E-4</v>
      </c>
      <c r="P65">
        <v>-2.3663038444527825E-4</v>
      </c>
      <c r="Q65">
        <v>0</v>
      </c>
      <c r="R65">
        <v>-1.4186076383081248E-3</v>
      </c>
      <c r="S65">
        <f>RESULTADOS_R!$T$9+(RESULTADOS_R!$T$10*M64)+(RESULTADOS_R!$T$11*M63)+(RESULTADOS_R!$T$12*M62)+(RESULTADOS_R!$T$13*M61)+(RESULTADOS_R!$T$14*M60)</f>
        <v>1.2943371277278603E-4</v>
      </c>
      <c r="T65">
        <f t="shared" si="6"/>
        <v>5.7995387904742342E-4</v>
      </c>
      <c r="U65" s="3"/>
      <c r="V65" t="s">
        <v>133</v>
      </c>
      <c r="W65" t="s">
        <v>63</v>
      </c>
      <c r="X65">
        <v>7.0371682229647316E-3</v>
      </c>
      <c r="Y65">
        <v>-1.1477712357131341E-2</v>
      </c>
      <c r="Z65">
        <v>-4.5095382881891362E-3</v>
      </c>
      <c r="AA65">
        <f>RESULTADOS_R!$T$15+(RESULTADOS_R!$T$16*'EV1-ER-AR'!X64)+(RESULTADOS_R!$T$17*'EV1-ER-AR'!X63)</f>
        <v>-5.3353291248292752E-5</v>
      </c>
      <c r="AB65">
        <f t="shared" si="2"/>
        <v>7.0905215142130244E-3</v>
      </c>
      <c r="AC65" s="3"/>
      <c r="AD65" t="s">
        <v>133</v>
      </c>
      <c r="AE65" t="s">
        <v>63</v>
      </c>
      <c r="AF65">
        <v>6.7308559105414964E-3</v>
      </c>
      <c r="AG65">
        <f>RESULTADOS_R!$T$18</f>
        <v>4.3639999999999998E-3</v>
      </c>
      <c r="AH65">
        <f t="shared" si="0"/>
        <v>2.3668559105414965E-3</v>
      </c>
      <c r="AI65" s="3"/>
      <c r="AJ65" t="s">
        <v>133</v>
      </c>
      <c r="AK65" t="s">
        <v>63</v>
      </c>
      <c r="AL65">
        <v>-5.8235338583550306E-4</v>
      </c>
      <c r="AM65">
        <v>7.9638826681903974E-3</v>
      </c>
      <c r="AN65">
        <v>9.4068524339906492E-3</v>
      </c>
      <c r="AO65">
        <v>4.9397479415537824E-3</v>
      </c>
      <c r="AP65">
        <v>-6.424670956614979E-4</v>
      </c>
      <c r="AQ65">
        <f>RESULTADOS_R!$T$19+(RESULTADOS_R!$T$20*AL64)+(RESULTADOS_R!$T$21*AL63)+(RESULTADOS_R!$T$22*AL62)+(RESULTADOS_R!$T$23*AL61)</f>
        <v>7.9211185424116226E-4</v>
      </c>
      <c r="AR65">
        <f t="shared" si="5"/>
        <v>-1.3744652400766652E-3</v>
      </c>
      <c r="AS65" s="3"/>
      <c r="AT65" t="s">
        <v>133</v>
      </c>
      <c r="AU65" t="s">
        <v>63</v>
      </c>
      <c r="AV65">
        <v>-7.441111775506843E-3</v>
      </c>
      <c r="AW65">
        <v>5.6796512779090386E-3</v>
      </c>
      <c r="AX65">
        <v>2.0598670790759097E-2</v>
      </c>
      <c r="AY65">
        <f>RESULTADOS_R!$T$24+(RESULTADOS_R!$T$25*AV64)+(RESULTADOS_R!$T$26*AV63)</f>
        <v>-1.5238137423281169E-3</v>
      </c>
      <c r="AZ65">
        <f t="shared" si="3"/>
        <v>-5.9172980331787259E-3</v>
      </c>
      <c r="BA65" s="3"/>
      <c r="BB65" t="s">
        <v>133</v>
      </c>
      <c r="BC65" t="s">
        <v>63</v>
      </c>
      <c r="BD65">
        <v>-6.3254570573172001E-3</v>
      </c>
      <c r="BE65">
        <v>-1.2295839408032457E-3</v>
      </c>
      <c r="BF65">
        <f>RESULTADOS_R!$T$27+(RESULTADOS_R!$T$28*BD64)</f>
        <v>-1.6897649547015806E-4</v>
      </c>
      <c r="BG65">
        <f t="shared" si="1"/>
        <v>-6.1564805618470417E-3</v>
      </c>
    </row>
    <row r="66" spans="1:59" x14ac:dyDescent="0.25">
      <c r="A66" t="s">
        <v>133</v>
      </c>
      <c r="B66" t="s">
        <v>64</v>
      </c>
      <c r="C66">
        <v>-5.788325015545364E-3</v>
      </c>
      <c r="D66">
        <v>3.0864673839874769E-5</v>
      </c>
      <c r="E66">
        <v>5.1057620239174217E-3</v>
      </c>
      <c r="F66">
        <v>-1.8612153790119857E-4</v>
      </c>
      <c r="G66">
        <v>8.688637051291494E-4</v>
      </c>
      <c r="H66">
        <f>RESULTADOS_R!$T$4+(RESULTADOS_R!$T$5*C65)+(RESULTADOS_R!$T$6*C64)+(RESULTADOS_R!$T$7*C63)+(RESULTADOS_R!$T$8*C62)</f>
        <v>1.4710335713286349E-3</v>
      </c>
      <c r="I66">
        <f t="shared" si="4"/>
        <v>-7.2593585868739987E-3</v>
      </c>
      <c r="J66" s="3"/>
      <c r="K66" t="s">
        <v>133</v>
      </c>
      <c r="L66" t="s">
        <v>64</v>
      </c>
      <c r="M66">
        <v>3.5450517357980349E-4</v>
      </c>
      <c r="N66">
        <v>7.0938759182020939E-4</v>
      </c>
      <c r="O66">
        <v>3.5488259673333456E-4</v>
      </c>
      <c r="P66">
        <v>1.1832219146483563E-4</v>
      </c>
      <c r="Q66">
        <v>-2.3663038444527825E-4</v>
      </c>
      <c r="R66">
        <v>0</v>
      </c>
      <c r="S66">
        <f>RESULTADOS_R!$T$9+(RESULTADOS_R!$T$10*M65)+(RESULTADOS_R!$T$11*M64)+(RESULTADOS_R!$T$12*M63)+(RESULTADOS_R!$T$13*M62)+(RESULTADOS_R!$T$14*M61)</f>
        <v>-1.1651481212692759E-4</v>
      </c>
      <c r="T66">
        <f t="shared" si="6"/>
        <v>4.7101998570673107E-4</v>
      </c>
      <c r="U66" s="3"/>
      <c r="V66" t="s">
        <v>133</v>
      </c>
      <c r="W66" t="s">
        <v>64</v>
      </c>
      <c r="X66">
        <v>3.986207470293374E-4</v>
      </c>
      <c r="Y66">
        <v>7.0371682229647316E-3</v>
      </c>
      <c r="Z66">
        <v>-1.1477712357131341E-2</v>
      </c>
      <c r="AA66">
        <f>RESULTADOS_R!$T$15+(RESULTADOS_R!$T$16*'EV1-ER-AR'!X65)+(RESULTADOS_R!$T$17*'EV1-ER-AR'!X64)</f>
        <v>5.8742535863558279E-3</v>
      </c>
      <c r="AB66">
        <f t="shared" si="2"/>
        <v>-5.4756328393264905E-3</v>
      </c>
      <c r="AC66" s="3"/>
      <c r="AD66" t="s">
        <v>133</v>
      </c>
      <c r="AE66" t="s">
        <v>64</v>
      </c>
      <c r="AF66">
        <v>4.1714091822487052E-2</v>
      </c>
      <c r="AG66">
        <f>RESULTADOS_R!$T$18</f>
        <v>4.3639999999999998E-3</v>
      </c>
      <c r="AH66">
        <f t="shared" si="0"/>
        <v>3.7350091822487053E-2</v>
      </c>
      <c r="AI66" s="3"/>
      <c r="AJ66" t="s">
        <v>133</v>
      </c>
      <c r="AK66" t="s">
        <v>64</v>
      </c>
      <c r="AL66">
        <v>3.0073819136279913E-3</v>
      </c>
      <c r="AM66">
        <v>-5.8235338583550306E-4</v>
      </c>
      <c r="AN66">
        <v>7.9638826681903974E-3</v>
      </c>
      <c r="AO66">
        <v>9.4068524339906492E-3</v>
      </c>
      <c r="AP66">
        <v>4.9397479415537824E-3</v>
      </c>
      <c r="AQ66">
        <f>RESULTADOS_R!$T$19+(RESULTADOS_R!$T$20*AL65)+(RESULTADOS_R!$T$21*AL64)+(RESULTADOS_R!$T$22*AL63)+(RESULTADOS_R!$T$23*AL62)</f>
        <v>-2.4185463952909023E-4</v>
      </c>
      <c r="AR66">
        <f t="shared" si="5"/>
        <v>3.2492365531570817E-3</v>
      </c>
      <c r="AS66" s="3"/>
      <c r="AT66" t="s">
        <v>133</v>
      </c>
      <c r="AU66" t="s">
        <v>64</v>
      </c>
      <c r="AV66">
        <v>9.0946418236194562E-3</v>
      </c>
      <c r="AW66">
        <v>-7.441111775506843E-3</v>
      </c>
      <c r="AX66">
        <v>5.6796512779090386E-3</v>
      </c>
      <c r="AY66">
        <f>RESULTADOS_R!$T$24+(RESULTADOS_R!$T$25*AV65)+(RESULTADOS_R!$T$26*AV64)</f>
        <v>6.3092700444075884E-4</v>
      </c>
      <c r="AZ66">
        <f t="shared" si="3"/>
        <v>8.4637148191786978E-3</v>
      </c>
      <c r="BA66" s="3"/>
      <c r="BB66" t="s">
        <v>133</v>
      </c>
      <c r="BC66" t="s">
        <v>64</v>
      </c>
      <c r="BD66">
        <v>-1.8486107123927861E-3</v>
      </c>
      <c r="BE66">
        <v>-6.3254570573172001E-3</v>
      </c>
      <c r="BF66">
        <f>RESULTADOS_R!$T$27+(RESULTADOS_R!$T$28*BD65)</f>
        <v>-1.1413556191224119E-3</v>
      </c>
      <c r="BG66">
        <f t="shared" si="1"/>
        <v>-7.0725509327037423E-4</v>
      </c>
    </row>
    <row r="67" spans="1:59" x14ac:dyDescent="0.25">
      <c r="A67" t="s">
        <v>133</v>
      </c>
      <c r="B67" t="s">
        <v>65</v>
      </c>
      <c r="C67">
        <v>2.9447797973115408E-3</v>
      </c>
      <c r="D67">
        <v>-5.788325015545364E-3</v>
      </c>
      <c r="E67">
        <v>3.0864673839874769E-5</v>
      </c>
      <c r="F67">
        <v>5.1057620239174217E-3</v>
      </c>
      <c r="G67">
        <v>-1.8612153790119857E-4</v>
      </c>
      <c r="H67">
        <f>RESULTADOS_R!$T$4+(RESULTADOS_R!$T$5*C66)+(RESULTADOS_R!$T$6*C65)+(RESULTADOS_R!$T$7*C64)+(RESULTADOS_R!$T$8*C63)</f>
        <v>1.3392685069426025E-3</v>
      </c>
      <c r="I67">
        <f t="shared" si="4"/>
        <v>1.6055112903689383E-3</v>
      </c>
      <c r="J67" s="3"/>
      <c r="K67" t="s">
        <v>133</v>
      </c>
      <c r="L67" t="s">
        <v>65</v>
      </c>
      <c r="M67">
        <v>-1.1815442797471133E-4</v>
      </c>
      <c r="N67">
        <v>3.5450517357980349E-4</v>
      </c>
      <c r="O67">
        <v>7.0938759182020939E-4</v>
      </c>
      <c r="P67">
        <v>3.5488259673333456E-4</v>
      </c>
      <c r="Q67">
        <v>1.1832219146483563E-4</v>
      </c>
      <c r="R67">
        <v>-2.3663038444527825E-4</v>
      </c>
      <c r="S67">
        <f>RESULTADOS_R!$T$9+(RESULTADOS_R!$T$10*M66)+(RESULTADOS_R!$T$11*M65)+(RESULTADOS_R!$T$12*M64)+(RESULTADOS_R!$T$13*M63)+(RESULTADOS_R!$T$14*M62)</f>
        <v>-6.494535202422716E-5</v>
      </c>
      <c r="T67">
        <f t="shared" si="6"/>
        <v>-5.3209075950484168E-5</v>
      </c>
      <c r="U67" s="3"/>
      <c r="V67" t="s">
        <v>133</v>
      </c>
      <c r="W67" t="s">
        <v>65</v>
      </c>
      <c r="X67">
        <v>-1.3722709258663236E-2</v>
      </c>
      <c r="Y67">
        <v>3.986207470293374E-4</v>
      </c>
      <c r="Z67">
        <v>7.0371682229647316E-3</v>
      </c>
      <c r="AA67">
        <f>RESULTADOS_R!$T$15+(RESULTADOS_R!$T$16*'EV1-ER-AR'!X66)+(RESULTADOS_R!$T$17*'EV1-ER-AR'!X65)</f>
        <v>1.5300202014021194E-4</v>
      </c>
      <c r="AB67">
        <f t="shared" si="2"/>
        <v>-1.3875711278803448E-2</v>
      </c>
      <c r="AC67" s="3"/>
      <c r="AD67" t="s">
        <v>133</v>
      </c>
      <c r="AE67" t="s">
        <v>65</v>
      </c>
      <c r="AF67">
        <v>-2.305302929012628E-2</v>
      </c>
      <c r="AG67">
        <f>RESULTADOS_R!$T$18</f>
        <v>4.3639999999999998E-3</v>
      </c>
      <c r="AH67">
        <f t="shared" ref="AH67:AH125" si="7">AF67-AG67</f>
        <v>-2.741702929012628E-2</v>
      </c>
      <c r="AI67" s="3"/>
      <c r="AJ67" t="s">
        <v>133</v>
      </c>
      <c r="AK67" t="s">
        <v>65</v>
      </c>
      <c r="AL67">
        <v>1.4311107398319301E-3</v>
      </c>
      <c r="AM67">
        <v>3.0073819136279913E-3</v>
      </c>
      <c r="AN67">
        <v>-5.8235338583550306E-4</v>
      </c>
      <c r="AO67">
        <v>7.9638826681903974E-3</v>
      </c>
      <c r="AP67">
        <v>9.4068524339906492E-3</v>
      </c>
      <c r="AQ67">
        <f>RESULTADOS_R!$T$19+(RESULTADOS_R!$T$20*AL66)+(RESULTADOS_R!$T$21*AL65)+(RESULTADOS_R!$T$22*AL64)+(RESULTADOS_R!$T$23*AL63)</f>
        <v>3.3069792365683203E-4</v>
      </c>
      <c r="AR67">
        <f t="shared" si="5"/>
        <v>1.100412816175098E-3</v>
      </c>
      <c r="AS67" s="3"/>
      <c r="AT67" t="s">
        <v>133</v>
      </c>
      <c r="AU67" t="s">
        <v>65</v>
      </c>
      <c r="AV67">
        <v>-4.806154851391191E-3</v>
      </c>
      <c r="AW67">
        <v>9.0946418236194562E-3</v>
      </c>
      <c r="AX67">
        <v>-7.441111775506843E-3</v>
      </c>
      <c r="AY67">
        <f>RESULTADOS_R!$T$24+(RESULTADOS_R!$T$25*AV66)+(RESULTADOS_R!$T$26*AV65)</f>
        <v>1.1207843874927821E-3</v>
      </c>
      <c r="AZ67">
        <f t="shared" si="3"/>
        <v>-5.9269392388839734E-3</v>
      </c>
      <c r="BA67" s="3"/>
      <c r="BB67" t="s">
        <v>133</v>
      </c>
      <c r="BC67" t="s">
        <v>65</v>
      </c>
      <c r="BD67">
        <v>-3.6348801729544863E-3</v>
      </c>
      <c r="BE67">
        <v>-1.8486107123927861E-3</v>
      </c>
      <c r="BF67">
        <f>RESULTADOS_R!$T$27+(RESULTADOS_R!$T$28*BD66)</f>
        <v>-2.8709731518305077E-4</v>
      </c>
      <c r="BG67">
        <f t="shared" si="1"/>
        <v>-3.3477828577714356E-3</v>
      </c>
    </row>
    <row r="68" spans="1:59" x14ac:dyDescent="0.25">
      <c r="A68" t="s">
        <v>133</v>
      </c>
      <c r="B68" t="s">
        <v>66</v>
      </c>
      <c r="C68">
        <v>8.3223363553633981E-3</v>
      </c>
      <c r="D68">
        <v>2.9447797973115408E-3</v>
      </c>
      <c r="E68">
        <v>-5.788325015545364E-3</v>
      </c>
      <c r="F68">
        <v>3.0864673839874769E-5</v>
      </c>
      <c r="G68">
        <v>5.1057620239174217E-3</v>
      </c>
      <c r="H68">
        <f>RESULTADOS_R!$T$4+(RESULTADOS_R!$T$5*C67)+(RESULTADOS_R!$T$6*C66)+(RESULTADOS_R!$T$7*C65)+(RESULTADOS_R!$T$8*C64)</f>
        <v>3.7134745245394163E-3</v>
      </c>
      <c r="I68">
        <f t="shared" si="4"/>
        <v>4.6088618308239813E-3</v>
      </c>
      <c r="J68" s="3"/>
      <c r="K68" t="s">
        <v>133</v>
      </c>
      <c r="L68" t="s">
        <v>66</v>
      </c>
      <c r="M68">
        <v>4.7253397217139175E-4</v>
      </c>
      <c r="N68">
        <v>-1.1815442797471133E-4</v>
      </c>
      <c r="O68">
        <v>3.5450517357980349E-4</v>
      </c>
      <c r="P68">
        <v>7.0938759182020939E-4</v>
      </c>
      <c r="Q68">
        <v>3.5488259673333456E-4</v>
      </c>
      <c r="R68">
        <v>1.1832219146483563E-4</v>
      </c>
      <c r="S68">
        <f>RESULTADOS_R!$T$9+(RESULTADOS_R!$T$10*M67)+(RESULTADOS_R!$T$11*M66)+(RESULTADOS_R!$T$12*M65)+(RESULTADOS_R!$T$13*M64)+(RESULTADOS_R!$T$14*M63)</f>
        <v>-1.0290337841817065E-4</v>
      </c>
      <c r="T68">
        <f t="shared" si="6"/>
        <v>5.7543735058956241E-4</v>
      </c>
      <c r="U68" s="3"/>
      <c r="V68" t="s">
        <v>133</v>
      </c>
      <c r="W68" t="s">
        <v>66</v>
      </c>
      <c r="X68">
        <v>-2.9359322249918551E-2</v>
      </c>
      <c r="Y68">
        <v>-1.3722709258663236E-2</v>
      </c>
      <c r="Z68">
        <v>3.986207470293374E-4</v>
      </c>
      <c r="AA68">
        <f>RESULTADOS_R!$T$15+(RESULTADOS_R!$T$16*'EV1-ER-AR'!X67)+(RESULTADOS_R!$T$17*'EV1-ER-AR'!X66)</f>
        <v>-1.6843480355466E-3</v>
      </c>
      <c r="AB68">
        <f t="shared" si="2"/>
        <v>-2.7674974214371952E-2</v>
      </c>
      <c r="AC68" s="3"/>
      <c r="AD68" t="s">
        <v>133</v>
      </c>
      <c r="AE68" t="s">
        <v>66</v>
      </c>
      <c r="AF68">
        <v>-1.712490789518999E-2</v>
      </c>
      <c r="AG68">
        <f>RESULTADOS_R!$T$18</f>
        <v>4.3639999999999998E-3</v>
      </c>
      <c r="AH68">
        <f t="shared" si="7"/>
        <v>-2.148890789518999E-2</v>
      </c>
      <c r="AI68" s="3"/>
      <c r="AJ68" t="s">
        <v>133</v>
      </c>
      <c r="AK68" t="s">
        <v>66</v>
      </c>
      <c r="AL68">
        <v>7.5829311627500506E-3</v>
      </c>
      <c r="AM68">
        <v>1.4311107398319301E-3</v>
      </c>
      <c r="AN68">
        <v>3.0073819136279913E-3</v>
      </c>
      <c r="AO68">
        <v>-5.8235338583550306E-4</v>
      </c>
      <c r="AP68">
        <v>7.9638826681903974E-3</v>
      </c>
      <c r="AQ68">
        <f>RESULTADOS_R!$T$19+(RESULTADOS_R!$T$20*AL67)+(RESULTADOS_R!$T$21*AL66)+(RESULTADOS_R!$T$22*AL65)+(RESULTADOS_R!$T$23*AL64)</f>
        <v>1.8655258866775845E-3</v>
      </c>
      <c r="AR68">
        <f t="shared" si="5"/>
        <v>5.7174052760724662E-3</v>
      </c>
      <c r="AS68" s="3"/>
      <c r="AT68" t="s">
        <v>133</v>
      </c>
      <c r="AU68" t="s">
        <v>66</v>
      </c>
      <c r="AV68">
        <v>1.0216839097068223E-2</v>
      </c>
      <c r="AW68">
        <v>-4.806154851391191E-3</v>
      </c>
      <c r="AX68">
        <v>9.0946418236194562E-3</v>
      </c>
      <c r="AY68">
        <f>RESULTADOS_R!$T$24+(RESULTADOS_R!$T$25*AV67)+(RESULTADOS_R!$T$26*AV66)</f>
        <v>1.5614195522203715E-4</v>
      </c>
      <c r="AZ68">
        <f t="shared" si="3"/>
        <v>1.0060697141846186E-2</v>
      </c>
      <c r="BA68" s="3"/>
      <c r="BB68" t="s">
        <v>133</v>
      </c>
      <c r="BC68" t="s">
        <v>66</v>
      </c>
      <c r="BD68">
        <v>4.7300007973149543E-3</v>
      </c>
      <c r="BE68">
        <v>-3.6348801729544863E-3</v>
      </c>
      <c r="BF68">
        <f>RESULTADOS_R!$T$27+(RESULTADOS_R!$T$28*BD67)</f>
        <v>-6.2794786089993295E-4</v>
      </c>
      <c r="BG68">
        <f t="shared" ref="BG68:BG125" si="8">BD68-BF68</f>
        <v>5.3579486582148875E-3</v>
      </c>
    </row>
    <row r="69" spans="1:59" x14ac:dyDescent="0.25">
      <c r="A69" t="s">
        <v>133</v>
      </c>
      <c r="B69" t="s">
        <v>67</v>
      </c>
      <c r="C69">
        <v>-7.0850187018376308E-3</v>
      </c>
      <c r="D69">
        <v>8.3223363553633981E-3</v>
      </c>
      <c r="E69">
        <v>2.9447797973115408E-3</v>
      </c>
      <c r="F69">
        <v>-5.788325015545364E-3</v>
      </c>
      <c r="G69">
        <v>3.0864673839874769E-5</v>
      </c>
      <c r="H69">
        <f>RESULTADOS_R!$T$4+(RESULTADOS_R!$T$5*C68)+(RESULTADOS_R!$T$6*C67)+(RESULTADOS_R!$T$7*C66)+(RESULTADOS_R!$T$8*C65)</f>
        <v>2.2467720752669114E-3</v>
      </c>
      <c r="I69">
        <f t="shared" si="4"/>
        <v>-9.3317907771045417E-3</v>
      </c>
      <c r="J69" s="3"/>
      <c r="K69" t="s">
        <v>133</v>
      </c>
      <c r="L69" t="s">
        <v>67</v>
      </c>
      <c r="M69">
        <v>8.263975442272764E-4</v>
      </c>
      <c r="N69">
        <v>4.7253397217139175E-4</v>
      </c>
      <c r="O69">
        <v>-1.1815442797471133E-4</v>
      </c>
      <c r="P69">
        <v>3.5450517357980349E-4</v>
      </c>
      <c r="Q69">
        <v>7.0938759182020939E-4</v>
      </c>
      <c r="R69">
        <v>3.5488259673333456E-4</v>
      </c>
      <c r="S69">
        <f>RESULTADOS_R!$T$9+(RESULTADOS_R!$T$10*M68)+(RESULTADOS_R!$T$11*M67)+(RESULTADOS_R!$T$12*M66)+(RESULTADOS_R!$T$13*M65)+(RESULTADOS_R!$T$14*M64)</f>
        <v>-1.4103655966567842E-4</v>
      </c>
      <c r="T69">
        <f t="shared" si="6"/>
        <v>9.6743410389295488E-4</v>
      </c>
      <c r="U69" s="3"/>
      <c r="V69" t="s">
        <v>133</v>
      </c>
      <c r="W69" t="s">
        <v>67</v>
      </c>
      <c r="X69">
        <v>5.0171763839507687E-2</v>
      </c>
      <c r="Y69">
        <v>-2.9359322249918551E-2</v>
      </c>
      <c r="Z69">
        <v>-1.3722709258663236E-2</v>
      </c>
      <c r="AA69">
        <f>RESULTADOS_R!$T$15+(RESULTADOS_R!$T$16*'EV1-ER-AR'!X68)+(RESULTADOS_R!$T$17*'EV1-ER-AR'!X67)</f>
        <v>-2.1988031796587979E-3</v>
      </c>
      <c r="AB69">
        <f t="shared" ref="AB69:AB125" si="9">X69-AA69</f>
        <v>5.2370567019166488E-2</v>
      </c>
      <c r="AC69" s="3"/>
      <c r="AD69" t="s">
        <v>133</v>
      </c>
      <c r="AE69" t="s">
        <v>67</v>
      </c>
      <c r="AF69">
        <v>5.1708751640955751E-2</v>
      </c>
      <c r="AG69">
        <f>RESULTADOS_R!$T$18</f>
        <v>4.3639999999999998E-3</v>
      </c>
      <c r="AH69">
        <f t="shared" si="7"/>
        <v>4.7344751640955751E-2</v>
      </c>
      <c r="AI69" s="3"/>
      <c r="AJ69" t="s">
        <v>133</v>
      </c>
      <c r="AK69" t="s">
        <v>67</v>
      </c>
      <c r="AL69">
        <v>1.4744196021915091E-2</v>
      </c>
      <c r="AM69">
        <v>7.5829311627500506E-3</v>
      </c>
      <c r="AN69">
        <v>1.4311107398319301E-3</v>
      </c>
      <c r="AO69">
        <v>3.0073819136279913E-3</v>
      </c>
      <c r="AP69">
        <v>-5.8235338583550306E-4</v>
      </c>
      <c r="AQ69">
        <f>RESULTADOS_R!$T$19+(RESULTADOS_R!$T$20*AL68)+(RESULTADOS_R!$T$21*AL67)+(RESULTADOS_R!$T$22*AL66)+(RESULTADOS_R!$T$23*AL65)</f>
        <v>7.725407113017786E-4</v>
      </c>
      <c r="AR69">
        <f t="shared" si="5"/>
        <v>1.3971655310613312E-2</v>
      </c>
      <c r="AS69" s="3"/>
      <c r="AT69" t="s">
        <v>133</v>
      </c>
      <c r="AU69" t="s">
        <v>67</v>
      </c>
      <c r="AV69">
        <v>1.1762292117718071E-3</v>
      </c>
      <c r="AW69">
        <v>1.0216839097068223E-2</v>
      </c>
      <c r="AX69">
        <v>-4.806154851391191E-3</v>
      </c>
      <c r="AY69">
        <f>RESULTADOS_R!$T$24+(RESULTADOS_R!$T$25*AV68)+(RESULTADOS_R!$T$26*AV67)</f>
        <v>8.0003783661595812E-4</v>
      </c>
      <c r="AZ69">
        <f t="shared" ref="AZ69:AZ125" si="10">AV69-AY69</f>
        <v>3.7619137515584899E-4</v>
      </c>
      <c r="BA69" s="3"/>
      <c r="BB69" t="s">
        <v>133</v>
      </c>
      <c r="BC69" t="s">
        <v>67</v>
      </c>
      <c r="BD69">
        <v>-8.2608785491359435E-5</v>
      </c>
      <c r="BE69">
        <v>4.7300007973149543E-3</v>
      </c>
      <c r="BF69">
        <f>RESULTADOS_R!$T$27+(RESULTADOS_R!$T$28*BD68)</f>
        <v>9.6821347227123242E-4</v>
      </c>
      <c r="BG69">
        <f t="shared" si="8"/>
        <v>-1.050822257762592E-3</v>
      </c>
    </row>
    <row r="70" spans="1:59" x14ac:dyDescent="0.25">
      <c r="A70" t="s">
        <v>133</v>
      </c>
      <c r="B70" t="s">
        <v>68</v>
      </c>
      <c r="C70">
        <v>3.5487840240456207E-3</v>
      </c>
      <c r="D70">
        <v>-7.0850187018376308E-3</v>
      </c>
      <c r="E70">
        <v>8.3223363553633981E-3</v>
      </c>
      <c r="F70">
        <v>2.9447797973115408E-3</v>
      </c>
      <c r="G70">
        <v>-5.788325015545364E-3</v>
      </c>
      <c r="H70">
        <f>RESULTADOS_R!$T$4+(RESULTADOS_R!$T$5*C69)+(RESULTADOS_R!$T$6*C68)+(RESULTADOS_R!$T$7*C67)+(RESULTADOS_R!$T$8*C66)</f>
        <v>-4.0133627342253751E-4</v>
      </c>
      <c r="I70">
        <f t="shared" si="4"/>
        <v>3.9501202974681583E-3</v>
      </c>
      <c r="J70" s="3"/>
      <c r="K70" t="s">
        <v>133</v>
      </c>
      <c r="L70" t="s">
        <v>68</v>
      </c>
      <c r="M70">
        <v>-3.5408675495363973E-4</v>
      </c>
      <c r="N70">
        <v>8.263975442272764E-4</v>
      </c>
      <c r="O70">
        <v>4.7253397217139175E-4</v>
      </c>
      <c r="P70">
        <v>-1.1815442797471133E-4</v>
      </c>
      <c r="Q70">
        <v>3.5450517357980349E-4</v>
      </c>
      <c r="R70">
        <v>7.0938759182020939E-4</v>
      </c>
      <c r="S70">
        <f>RESULTADOS_R!$T$9+(RESULTADOS_R!$T$10*M69)+(RESULTADOS_R!$T$11*M68)+(RESULTADOS_R!$T$12*M67)+(RESULTADOS_R!$T$13*M66)+(RESULTADOS_R!$T$14*M65)</f>
        <v>-1.3362752590627452E-4</v>
      </c>
      <c r="T70">
        <f t="shared" si="6"/>
        <v>-2.2045922904736522E-4</v>
      </c>
      <c r="U70" s="3"/>
      <c r="V70" t="s">
        <v>133</v>
      </c>
      <c r="W70" t="s">
        <v>68</v>
      </c>
      <c r="X70">
        <v>5.6165608137584998E-2</v>
      </c>
      <c r="Y70">
        <v>5.0171763839507687E-2</v>
      </c>
      <c r="Z70">
        <v>-2.9359322249918551E-2</v>
      </c>
      <c r="AA70">
        <f>RESULTADOS_R!$T$15+(RESULTADOS_R!$T$16*'EV1-ER-AR'!X69)+(RESULTADOS_R!$T$17*'EV1-ER-AR'!X68)</f>
        <v>2.0053876867422826E-2</v>
      </c>
      <c r="AB70">
        <f t="shared" si="9"/>
        <v>3.6111731270162171E-2</v>
      </c>
      <c r="AC70" s="3"/>
      <c r="AD70" t="s">
        <v>133</v>
      </c>
      <c r="AE70" t="s">
        <v>68</v>
      </c>
      <c r="AF70">
        <v>7.2802834537449165E-2</v>
      </c>
      <c r="AG70">
        <f>RESULTADOS_R!$T$18</f>
        <v>4.3639999999999998E-3</v>
      </c>
      <c r="AH70">
        <f t="shared" si="7"/>
        <v>6.8438834537449172E-2</v>
      </c>
      <c r="AI70" s="3"/>
      <c r="AJ70" t="s">
        <v>133</v>
      </c>
      <c r="AK70" t="s">
        <v>68</v>
      </c>
      <c r="AL70">
        <v>9.1801735935517874E-3</v>
      </c>
      <c r="AM70">
        <v>1.4744196021915091E-2</v>
      </c>
      <c r="AN70">
        <v>7.5829311627500506E-3</v>
      </c>
      <c r="AO70">
        <v>1.4311107398319301E-3</v>
      </c>
      <c r="AP70">
        <v>3.0073819136279913E-3</v>
      </c>
      <c r="AQ70">
        <f>RESULTADOS_R!$T$19+(RESULTADOS_R!$T$20*AL69)+(RESULTADOS_R!$T$21*AL68)+(RESULTADOS_R!$T$22*AL67)+(RESULTADOS_R!$T$23*AL66)</f>
        <v>2.2271757314289639E-3</v>
      </c>
      <c r="AR70">
        <f t="shared" si="5"/>
        <v>6.9529978621228235E-3</v>
      </c>
      <c r="AS70" s="3"/>
      <c r="AT70" t="s">
        <v>133</v>
      </c>
      <c r="AU70" t="s">
        <v>68</v>
      </c>
      <c r="AV70">
        <v>5.9762400515493289E-3</v>
      </c>
      <c r="AW70">
        <v>1.1762292117718071E-3</v>
      </c>
      <c r="AX70">
        <v>1.0216839097068223E-2</v>
      </c>
      <c r="AY70">
        <f>RESULTADOS_R!$T$24+(RESULTADOS_R!$T$25*AV69)+(RESULTADOS_R!$T$26*AV68)</f>
        <v>-2.5595978559711811E-4</v>
      </c>
      <c r="AZ70">
        <f t="shared" si="10"/>
        <v>6.2321998371464467E-3</v>
      </c>
      <c r="BA70" s="3"/>
      <c r="BB70" t="s">
        <v>133</v>
      </c>
      <c r="BC70" t="s">
        <v>68</v>
      </c>
      <c r="BD70">
        <v>-1.7260183398154379E-3</v>
      </c>
      <c r="BE70">
        <v>-8.2608785491359435E-5</v>
      </c>
      <c r="BF70">
        <f>RESULTADOS_R!$T$27+(RESULTADOS_R!$T$28*BD69)</f>
        <v>4.9885840948462187E-5</v>
      </c>
      <c r="BG70">
        <f t="shared" si="8"/>
        <v>-1.7759041807639002E-3</v>
      </c>
    </row>
    <row r="71" spans="1:59" x14ac:dyDescent="0.25">
      <c r="A71" t="s">
        <v>133</v>
      </c>
      <c r="B71" t="s">
        <v>69</v>
      </c>
      <c r="C71">
        <v>-2.8071276241659342E-3</v>
      </c>
      <c r="D71">
        <v>3.5487840240456207E-3</v>
      </c>
      <c r="E71">
        <v>-7.0850187018376308E-3</v>
      </c>
      <c r="F71">
        <v>8.3223363553633981E-3</v>
      </c>
      <c r="G71">
        <v>2.9447797973115408E-3</v>
      </c>
      <c r="H71">
        <f>RESULTADOS_R!$T$4+(RESULTADOS_R!$T$5*C70)+(RESULTADOS_R!$T$6*C69)+(RESULTADOS_R!$T$7*C68)+(RESULTADOS_R!$T$8*C67)</f>
        <v>1.2745882564366537E-3</v>
      </c>
      <c r="I71">
        <f t="shared" ref="I71:I125" si="11">C71-H71</f>
        <v>-4.0817158806025879E-3</v>
      </c>
      <c r="J71" s="3"/>
      <c r="K71" t="s">
        <v>133</v>
      </c>
      <c r="L71" t="s">
        <v>69</v>
      </c>
      <c r="M71">
        <v>0</v>
      </c>
      <c r="N71">
        <v>-3.5408675495363973E-4</v>
      </c>
      <c r="O71">
        <v>8.263975442272764E-4</v>
      </c>
      <c r="P71">
        <v>4.7253397217139175E-4</v>
      </c>
      <c r="Q71">
        <v>-1.1815442797471133E-4</v>
      </c>
      <c r="R71">
        <v>3.5450517357980349E-4</v>
      </c>
      <c r="S71">
        <f>RESULTADOS_R!$T$9+(RESULTADOS_R!$T$10*M70)+(RESULTADOS_R!$T$11*M69)+(RESULTADOS_R!$T$12*M68)+(RESULTADOS_R!$T$13*M67)+(RESULTADOS_R!$T$14*M66)</f>
        <v>-5.7944943599594131E-5</v>
      </c>
      <c r="T71">
        <f t="shared" si="6"/>
        <v>5.7944943599594131E-5</v>
      </c>
      <c r="U71" s="3"/>
      <c r="V71" t="s">
        <v>133</v>
      </c>
      <c r="W71" t="s">
        <v>69</v>
      </c>
      <c r="X71">
        <v>4.9526897407857685E-2</v>
      </c>
      <c r="Y71">
        <v>5.6165608137584998E-2</v>
      </c>
      <c r="Z71">
        <v>5.0171763839507687E-2</v>
      </c>
      <c r="AA71">
        <f>RESULTADOS_R!$T$15+(RESULTADOS_R!$T$16*'EV1-ER-AR'!X70)+(RESULTADOS_R!$T$17*'EV1-ER-AR'!X69)</f>
        <v>3.6106055019794799E-3</v>
      </c>
      <c r="AB71">
        <f t="shared" si="9"/>
        <v>4.5916291905878204E-2</v>
      </c>
      <c r="AC71" s="3"/>
      <c r="AD71" t="s">
        <v>133</v>
      </c>
      <c r="AE71" t="s">
        <v>69</v>
      </c>
      <c r="AF71">
        <v>-5.2816537795558026E-3</v>
      </c>
      <c r="AG71">
        <f>RESULTADOS_R!$T$18</f>
        <v>4.3639999999999998E-3</v>
      </c>
      <c r="AH71">
        <f t="shared" si="7"/>
        <v>-9.6456537795558024E-3</v>
      </c>
      <c r="AI71" s="3"/>
      <c r="AJ71" t="s">
        <v>133</v>
      </c>
      <c r="AK71" t="s">
        <v>69</v>
      </c>
      <c r="AL71">
        <v>5.1147422766515474E-3</v>
      </c>
      <c r="AM71">
        <v>9.1801735935517874E-3</v>
      </c>
      <c r="AN71">
        <v>1.4744196021915091E-2</v>
      </c>
      <c r="AO71">
        <v>7.5829311627500506E-3</v>
      </c>
      <c r="AP71">
        <v>1.4311107398319301E-3</v>
      </c>
      <c r="AQ71">
        <f>RESULTADOS_R!$T$19+(RESULTADOS_R!$T$20*AL70)+(RESULTADOS_R!$T$21*AL69)+(RESULTADOS_R!$T$22*AL68)+(RESULTADOS_R!$T$23*AL67)</f>
        <v>8.1883713979222488E-4</v>
      </c>
      <c r="AR71">
        <f t="shared" ref="AR71:AR125" si="12">AL71-AQ71</f>
        <v>4.2959051368593225E-3</v>
      </c>
      <c r="AS71" s="3"/>
      <c r="AT71" t="s">
        <v>133</v>
      </c>
      <c r="AU71" t="s">
        <v>69</v>
      </c>
      <c r="AV71">
        <v>1.3413907200102711E-2</v>
      </c>
      <c r="AW71">
        <v>5.9762400515493289E-3</v>
      </c>
      <c r="AX71">
        <v>1.1762292117718071E-3</v>
      </c>
      <c r="AY71">
        <f>RESULTADOS_R!$T$24+(RESULTADOS_R!$T$25*AV70)+(RESULTADOS_R!$T$26*AV69)</f>
        <v>4.1158033542719463E-4</v>
      </c>
      <c r="AZ71">
        <f t="shared" si="10"/>
        <v>1.3002326864675517E-2</v>
      </c>
      <c r="BA71" s="3"/>
      <c r="BB71" t="s">
        <v>133</v>
      </c>
      <c r="BC71" t="s">
        <v>69</v>
      </c>
      <c r="BD71">
        <v>3.4490626727750372E-3</v>
      </c>
      <c r="BE71">
        <v>-1.7260183398154379E-3</v>
      </c>
      <c r="BF71">
        <f>RESULTADOS_R!$T$27+(RESULTADOS_R!$T$28*BD70)</f>
        <v>-2.6370460875421394E-4</v>
      </c>
      <c r="BG71">
        <f t="shared" si="8"/>
        <v>3.7127672815292509E-3</v>
      </c>
    </row>
    <row r="72" spans="1:59" x14ac:dyDescent="0.25">
      <c r="A72" t="s">
        <v>133</v>
      </c>
      <c r="B72" t="s">
        <v>70</v>
      </c>
      <c r="C72">
        <v>4.8996292339100979E-3</v>
      </c>
      <c r="D72">
        <v>-2.8071276241659342E-3</v>
      </c>
      <c r="E72">
        <v>3.5487840240456207E-3</v>
      </c>
      <c r="F72">
        <v>-7.0850187018376308E-3</v>
      </c>
      <c r="G72">
        <v>8.3223363553633981E-3</v>
      </c>
      <c r="H72">
        <f>RESULTADOS_R!$T$4+(RESULTADOS_R!$T$5*C71)+(RESULTADOS_R!$T$6*C70)+(RESULTADOS_R!$T$7*C69)+(RESULTADOS_R!$T$8*C68)</f>
        <v>5.2737598579992743E-3</v>
      </c>
      <c r="I72">
        <f t="shared" si="11"/>
        <v>-3.7413062408917647E-4</v>
      </c>
      <c r="J72" s="3"/>
      <c r="K72" t="s">
        <v>133</v>
      </c>
      <c r="L72" t="s">
        <v>70</v>
      </c>
      <c r="M72">
        <v>-4.7231078927364436E-4</v>
      </c>
      <c r="N72">
        <v>0</v>
      </c>
      <c r="O72">
        <v>-3.5408675495363973E-4</v>
      </c>
      <c r="P72">
        <v>8.263975442272764E-4</v>
      </c>
      <c r="Q72">
        <v>4.7253397217139175E-4</v>
      </c>
      <c r="R72">
        <v>-1.1815442797471133E-4</v>
      </c>
      <c r="S72">
        <f>RESULTADOS_R!$T$9+(RESULTADOS_R!$T$10*M71)+(RESULTADOS_R!$T$11*M70)+(RESULTADOS_R!$T$12*M69)+(RESULTADOS_R!$T$13*M68)+(RESULTADOS_R!$T$14*M67)</f>
        <v>-1.3284120428578346E-4</v>
      </c>
      <c r="T72">
        <f t="shared" ref="T72:T125" si="13">M72-S72</f>
        <v>-3.394695849878609E-4</v>
      </c>
      <c r="U72" s="3"/>
      <c r="V72" t="s">
        <v>133</v>
      </c>
      <c r="W72" t="s">
        <v>70</v>
      </c>
      <c r="X72">
        <v>-1.0321657650373317E-2</v>
      </c>
      <c r="Y72">
        <v>4.9526897407857685E-2</v>
      </c>
      <c r="Z72">
        <v>5.6165608137584998E-2</v>
      </c>
      <c r="AA72">
        <f>RESULTADOS_R!$T$15+(RESULTADOS_R!$T$16*'EV1-ER-AR'!X71)+(RESULTADOS_R!$T$17*'EV1-ER-AR'!X70)</f>
        <v>7.0045088264989938E-4</v>
      </c>
      <c r="AB72">
        <f t="shared" si="9"/>
        <v>-1.1022108533023217E-2</v>
      </c>
      <c r="AC72" s="3"/>
      <c r="AD72" t="s">
        <v>133</v>
      </c>
      <c r="AE72" t="s">
        <v>70</v>
      </c>
      <c r="AF72">
        <v>-1.6052639677926278E-2</v>
      </c>
      <c r="AG72">
        <f>RESULTADOS_R!$T$18</f>
        <v>4.3639999999999998E-3</v>
      </c>
      <c r="AH72">
        <f t="shared" si="7"/>
        <v>-2.0416639677926278E-2</v>
      </c>
      <c r="AI72" s="3"/>
      <c r="AJ72" t="s">
        <v>133</v>
      </c>
      <c r="AK72" t="s">
        <v>70</v>
      </c>
      <c r="AL72">
        <v>-1.1617486403614001E-2</v>
      </c>
      <c r="AM72">
        <v>5.1147422766515474E-3</v>
      </c>
      <c r="AN72">
        <v>9.1801735935517874E-3</v>
      </c>
      <c r="AO72">
        <v>1.4744196021915091E-2</v>
      </c>
      <c r="AP72">
        <v>7.5829311627500506E-3</v>
      </c>
      <c r="AQ72">
        <f>RESULTADOS_R!$T$19+(RESULTADOS_R!$T$20*AL71)+(RESULTADOS_R!$T$21*AL70)+(RESULTADOS_R!$T$22*AL69)+(RESULTADOS_R!$T$23*AL68)</f>
        <v>-5.2537531987214702E-4</v>
      </c>
      <c r="AR72">
        <f t="shared" si="12"/>
        <v>-1.1092111083741854E-2</v>
      </c>
      <c r="AS72" s="3"/>
      <c r="AT72" t="s">
        <v>133</v>
      </c>
      <c r="AU72" t="s">
        <v>70</v>
      </c>
      <c r="AV72">
        <v>-1.6687846992135331E-2</v>
      </c>
      <c r="AW72">
        <v>1.3413907200102711E-2</v>
      </c>
      <c r="AX72">
        <v>5.9762400515493289E-3</v>
      </c>
      <c r="AY72">
        <f>RESULTADOS_R!$T$24+(RESULTADOS_R!$T$25*AV71)+(RESULTADOS_R!$T$26*AV70)</f>
        <v>-4.426539050974513E-4</v>
      </c>
      <c r="AZ72">
        <f t="shared" si="10"/>
        <v>-1.6245193087037882E-2</v>
      </c>
      <c r="BA72" s="3"/>
      <c r="BB72" t="s">
        <v>133</v>
      </c>
      <c r="BC72" t="s">
        <v>70</v>
      </c>
      <c r="BD72">
        <v>3.0261880801879526E-3</v>
      </c>
      <c r="BE72">
        <v>3.4490626727750372E-3</v>
      </c>
      <c r="BF72">
        <f>RESULTADOS_R!$T$27+(RESULTADOS_R!$T$28*BD71)</f>
        <v>7.2378872649872343E-4</v>
      </c>
      <c r="BG72">
        <f t="shared" si="8"/>
        <v>2.3023993536892291E-3</v>
      </c>
    </row>
    <row r="73" spans="1:59" x14ac:dyDescent="0.25">
      <c r="A73" t="s">
        <v>133</v>
      </c>
      <c r="B73" t="s">
        <v>71</v>
      </c>
      <c r="C73">
        <v>6.6178739646443763E-3</v>
      </c>
      <c r="D73">
        <v>4.8996292339100979E-3</v>
      </c>
      <c r="E73">
        <v>-2.8071276241659342E-3</v>
      </c>
      <c r="F73">
        <v>3.5487840240456207E-3</v>
      </c>
      <c r="G73">
        <v>-7.0850187018376308E-3</v>
      </c>
      <c r="H73">
        <f>RESULTADOS_R!$T$4+(RESULTADOS_R!$T$5*C72)+(RESULTADOS_R!$T$6*C71)+(RESULTADOS_R!$T$7*C70)+(RESULTADOS_R!$T$8*C69)</f>
        <v>-2.5693701558847869E-4</v>
      </c>
      <c r="I73">
        <f t="shared" si="11"/>
        <v>6.8748109802328553E-3</v>
      </c>
      <c r="J73" s="3"/>
      <c r="K73" t="s">
        <v>133</v>
      </c>
      <c r="L73" t="s">
        <v>71</v>
      </c>
      <c r="M73">
        <v>1.1809861247868839E-4</v>
      </c>
      <c r="N73">
        <v>-4.7231078927364436E-4</v>
      </c>
      <c r="O73">
        <v>0</v>
      </c>
      <c r="P73">
        <v>-3.5408675495363973E-4</v>
      </c>
      <c r="Q73">
        <v>8.263975442272764E-4</v>
      </c>
      <c r="R73">
        <v>4.7253397217139175E-4</v>
      </c>
      <c r="S73">
        <f>RESULTADOS_R!$T$9+(RESULTADOS_R!$T$10*M72)+(RESULTADOS_R!$T$11*M71)+(RESULTADOS_R!$T$12*M70)+(RESULTADOS_R!$T$13*M69)+(RESULTADOS_R!$T$14*M68)</f>
        <v>9.8285281426849962E-5</v>
      </c>
      <c r="T73">
        <f t="shared" si="13"/>
        <v>1.981333105183843E-5</v>
      </c>
      <c r="U73" s="3"/>
      <c r="V73" t="s">
        <v>133</v>
      </c>
      <c r="W73" t="s">
        <v>71</v>
      </c>
      <c r="X73">
        <v>-2.5164819251183034E-2</v>
      </c>
      <c r="Y73">
        <v>-1.0321657650373317E-2</v>
      </c>
      <c r="Z73">
        <v>4.9526897407857685E-2</v>
      </c>
      <c r="AA73">
        <f>RESULTADOS_R!$T$15+(RESULTADOS_R!$T$16*'EV1-ER-AR'!X72)+(RESULTADOS_R!$T$17*'EV1-ER-AR'!X71)</f>
        <v>-1.1912803194644378E-2</v>
      </c>
      <c r="AB73">
        <f t="shared" si="9"/>
        <v>-1.3252016056538656E-2</v>
      </c>
      <c r="AC73" s="3"/>
      <c r="AD73" t="s">
        <v>133</v>
      </c>
      <c r="AE73" t="s">
        <v>71</v>
      </c>
      <c r="AF73">
        <v>-1.6264699562599006E-2</v>
      </c>
      <c r="AG73">
        <f>RESULTADOS_R!$T$18</f>
        <v>4.3639999999999998E-3</v>
      </c>
      <c r="AH73">
        <f t="shared" si="7"/>
        <v>-2.0628699562599006E-2</v>
      </c>
      <c r="AI73" s="3"/>
      <c r="AJ73" t="s">
        <v>133</v>
      </c>
      <c r="AK73" t="s">
        <v>71</v>
      </c>
      <c r="AL73">
        <v>-2.2135149216363568E-3</v>
      </c>
      <c r="AM73">
        <v>-1.1617486403614001E-2</v>
      </c>
      <c r="AN73">
        <v>5.1147422766515474E-3</v>
      </c>
      <c r="AO73">
        <v>9.1801735935517874E-3</v>
      </c>
      <c r="AP73">
        <v>1.4744196021915091E-2</v>
      </c>
      <c r="AQ73">
        <f>RESULTADOS_R!$T$19+(RESULTADOS_R!$T$20*AL72)+(RESULTADOS_R!$T$21*AL71)+(RESULTADOS_R!$T$22*AL70)+(RESULTADOS_R!$T$23*AL69)</f>
        <v>-2.3904397015150577E-4</v>
      </c>
      <c r="AR73">
        <f t="shared" si="12"/>
        <v>-1.9744709514848508E-3</v>
      </c>
      <c r="AS73" s="3"/>
      <c r="AT73" t="s">
        <v>133</v>
      </c>
      <c r="AU73" t="s">
        <v>71</v>
      </c>
      <c r="AV73">
        <v>-1.0260889990700425E-2</v>
      </c>
      <c r="AW73">
        <v>-1.6687846992135331E-2</v>
      </c>
      <c r="AX73">
        <v>1.3413907200102711E-2</v>
      </c>
      <c r="AY73">
        <f>RESULTADOS_R!$T$24+(RESULTADOS_R!$T$25*AV72)+(RESULTADOS_R!$T$26*AV71)</f>
        <v>3.1711986409663738E-4</v>
      </c>
      <c r="AZ73">
        <f t="shared" si="10"/>
        <v>-1.0578009854797062E-2</v>
      </c>
      <c r="BA73" s="3"/>
      <c r="BB73" t="s">
        <v>133</v>
      </c>
      <c r="BC73" t="s">
        <v>71</v>
      </c>
      <c r="BD73">
        <v>1.550714306716155E-3</v>
      </c>
      <c r="BE73">
        <v>3.0261880801879526E-3</v>
      </c>
      <c r="BF73">
        <f>RESULTADOS_R!$T$27+(RESULTADOS_R!$T$28*BD72)</f>
        <v>6.4309707339965097E-4</v>
      </c>
      <c r="BG73">
        <f t="shared" si="8"/>
        <v>9.0761723331650402E-4</v>
      </c>
    </row>
    <row r="74" spans="1:59" x14ac:dyDescent="0.25">
      <c r="A74" t="s">
        <v>133</v>
      </c>
      <c r="B74" t="s">
        <v>72</v>
      </c>
      <c r="C74">
        <v>-2.8746197165215388E-3</v>
      </c>
      <c r="D74">
        <v>6.6178739646443763E-3</v>
      </c>
      <c r="E74">
        <v>4.8996292339100979E-3</v>
      </c>
      <c r="F74">
        <v>-2.8071276241659342E-3</v>
      </c>
      <c r="G74">
        <v>3.5487840240456207E-3</v>
      </c>
      <c r="H74">
        <f>RESULTADOS_R!$T$4+(RESULTADOS_R!$T$5*C73)+(RESULTADOS_R!$T$6*C72)+(RESULTADOS_R!$T$7*C71)+(RESULTADOS_R!$T$8*C70)</f>
        <v>2.0041333780506788E-3</v>
      </c>
      <c r="I74">
        <f t="shared" si="11"/>
        <v>-4.8787530945722177E-3</v>
      </c>
      <c r="J74" s="3"/>
      <c r="K74" t="s">
        <v>133</v>
      </c>
      <c r="L74" t="s">
        <v>72</v>
      </c>
      <c r="M74">
        <v>2.3615539134423419E-4</v>
      </c>
      <c r="N74">
        <v>1.1809861247868839E-4</v>
      </c>
      <c r="O74">
        <v>-4.7231078927364436E-4</v>
      </c>
      <c r="P74">
        <v>0</v>
      </c>
      <c r="Q74">
        <v>-3.5408675495363973E-4</v>
      </c>
      <c r="R74">
        <v>8.263975442272764E-4</v>
      </c>
      <c r="S74">
        <f>RESULTADOS_R!$T$9+(RESULTADOS_R!$T$10*M73)+(RESULTADOS_R!$T$11*M72)+(RESULTADOS_R!$T$12*M71)+(RESULTADOS_R!$T$13*M70)+(RESULTADOS_R!$T$14*M69)</f>
        <v>-1.3145294035215744E-4</v>
      </c>
      <c r="T74">
        <f t="shared" si="13"/>
        <v>3.6760833169639166E-4</v>
      </c>
      <c r="U74" s="3"/>
      <c r="V74" t="s">
        <v>133</v>
      </c>
      <c r="W74" t="s">
        <v>72</v>
      </c>
      <c r="X74">
        <v>3.5836980000252268E-2</v>
      </c>
      <c r="Y74">
        <v>-2.5164819251183034E-2</v>
      </c>
      <c r="Z74">
        <v>-1.0321657650373317E-2</v>
      </c>
      <c r="AA74">
        <f>RESULTADOS_R!$T$15+(RESULTADOS_R!$T$16*'EV1-ER-AR'!X73)+(RESULTADOS_R!$T$17*'EV1-ER-AR'!X72)</f>
        <v>-1.9739194862177759E-3</v>
      </c>
      <c r="AB74">
        <f t="shared" si="9"/>
        <v>3.7810899486470047E-2</v>
      </c>
      <c r="AC74" s="3"/>
      <c r="AD74" t="s">
        <v>133</v>
      </c>
      <c r="AE74" t="s">
        <v>72</v>
      </c>
      <c r="AF74">
        <v>3.5237491035725078E-2</v>
      </c>
      <c r="AG74">
        <f>RESULTADOS_R!$T$18</f>
        <v>4.3639999999999998E-3</v>
      </c>
      <c r="AH74">
        <f t="shared" si="7"/>
        <v>3.0873491035725079E-2</v>
      </c>
      <c r="AI74" s="3"/>
      <c r="AJ74" t="s">
        <v>133</v>
      </c>
      <c r="AK74" t="s">
        <v>72</v>
      </c>
      <c r="AL74">
        <v>6.363497305542096E-3</v>
      </c>
      <c r="AM74">
        <v>-2.2135149216363568E-3</v>
      </c>
      <c r="AN74">
        <v>-1.1617486403614001E-2</v>
      </c>
      <c r="AO74">
        <v>5.1147422766515474E-3</v>
      </c>
      <c r="AP74">
        <v>9.1801735935517874E-3</v>
      </c>
      <c r="AQ74">
        <f>RESULTADOS_R!$T$19+(RESULTADOS_R!$T$20*AL73)+(RESULTADOS_R!$T$21*AL72)+(RESULTADOS_R!$T$22*AL71)+(RESULTADOS_R!$T$23*AL70)</f>
        <v>-4.4627351092580022E-5</v>
      </c>
      <c r="AR74">
        <f t="shared" si="12"/>
        <v>6.4081246566346757E-3</v>
      </c>
      <c r="AS74" s="3"/>
      <c r="AT74" t="s">
        <v>133</v>
      </c>
      <c r="AU74" t="s">
        <v>72</v>
      </c>
      <c r="AV74">
        <v>1.0736359110751763E-2</v>
      </c>
      <c r="AW74">
        <v>-1.0260889990700425E-2</v>
      </c>
      <c r="AX74">
        <v>-1.6687846992135331E-2</v>
      </c>
      <c r="AY74">
        <f>RESULTADOS_R!$T$24+(RESULTADOS_R!$T$25*AV73)+(RESULTADOS_R!$T$26*AV72)</f>
        <v>3.0180140393370495E-3</v>
      </c>
      <c r="AZ74">
        <f t="shared" si="10"/>
        <v>7.7183450714147133E-3</v>
      </c>
      <c r="BA74" s="3"/>
      <c r="BB74" t="s">
        <v>133</v>
      </c>
      <c r="BC74" t="s">
        <v>72</v>
      </c>
      <c r="BD74">
        <v>-9.6506275264165802E-4</v>
      </c>
      <c r="BE74">
        <v>1.550714306716155E-3</v>
      </c>
      <c r="BF74">
        <f>RESULTADOS_R!$T$27+(RESULTADOS_R!$T$28*BD73)</f>
        <v>3.6155162240108471E-4</v>
      </c>
      <c r="BG74">
        <f t="shared" si="8"/>
        <v>-1.3266143750427428E-3</v>
      </c>
    </row>
    <row r="75" spans="1:59" x14ac:dyDescent="0.25">
      <c r="A75" t="s">
        <v>133</v>
      </c>
      <c r="B75" t="s">
        <v>73</v>
      </c>
      <c r="C75">
        <v>6.9582482353100234E-3</v>
      </c>
      <c r="D75">
        <v>-2.8746197165215388E-3</v>
      </c>
      <c r="E75">
        <v>6.6178739646443763E-3</v>
      </c>
      <c r="F75">
        <v>4.8996292339100979E-3</v>
      </c>
      <c r="G75">
        <v>-2.8071276241659342E-3</v>
      </c>
      <c r="H75">
        <f>RESULTADOS_R!$T$4+(RESULTADOS_R!$T$5*C74)+(RESULTADOS_R!$T$6*C73)+(RESULTADOS_R!$T$7*C72)+(RESULTADOS_R!$T$8*C71)</f>
        <v>-5.0789691728013551E-4</v>
      </c>
      <c r="I75">
        <f t="shared" si="11"/>
        <v>7.4661451525901588E-3</v>
      </c>
      <c r="J75" s="3"/>
      <c r="K75" t="s">
        <v>133</v>
      </c>
      <c r="L75" t="s">
        <v>73</v>
      </c>
      <c r="M75">
        <v>-1.1807072450113539E-4</v>
      </c>
      <c r="N75">
        <v>2.3615539134423419E-4</v>
      </c>
      <c r="O75">
        <v>1.1809861247868839E-4</v>
      </c>
      <c r="P75">
        <v>-4.7231078927364436E-4</v>
      </c>
      <c r="Q75">
        <v>0</v>
      </c>
      <c r="R75">
        <v>-3.5408675495363973E-4</v>
      </c>
      <c r="S75">
        <f>RESULTADOS_R!$T$9+(RESULTADOS_R!$T$10*M74)+(RESULTADOS_R!$T$11*M73)+(RESULTADOS_R!$T$12*M72)+(RESULTADOS_R!$T$13*M71)+(RESULTADOS_R!$T$14*M70)</f>
        <v>8.1755470477265334E-5</v>
      </c>
      <c r="T75">
        <f t="shared" si="13"/>
        <v>-1.9982619497840073E-4</v>
      </c>
      <c r="U75" s="3"/>
      <c r="V75" t="s">
        <v>133</v>
      </c>
      <c r="W75" t="s">
        <v>73</v>
      </c>
      <c r="X75">
        <v>-2.7417057825378189E-3</v>
      </c>
      <c r="Y75">
        <v>3.5836980000252268E-2</v>
      </c>
      <c r="Z75">
        <v>-2.5164819251183034E-2</v>
      </c>
      <c r="AA75">
        <f>RESULTADOS_R!$T$15+(RESULTADOS_R!$T$16*'EV1-ER-AR'!X74)+(RESULTADOS_R!$T$17*'EV1-ER-AR'!X73)</f>
        <v>1.5734064260460305E-2</v>
      </c>
      <c r="AB75">
        <f t="shared" si="9"/>
        <v>-1.8475770042998125E-2</v>
      </c>
      <c r="AC75" s="3"/>
      <c r="AD75" t="s">
        <v>133</v>
      </c>
      <c r="AE75" t="s">
        <v>73</v>
      </c>
      <c r="AF75">
        <v>1.8238638140572669E-3</v>
      </c>
      <c r="AG75">
        <f>RESULTADOS_R!$T$18</f>
        <v>4.3639999999999998E-3</v>
      </c>
      <c r="AH75">
        <f t="shared" si="7"/>
        <v>-2.5401361859427327E-3</v>
      </c>
      <c r="AI75" s="3"/>
      <c r="AJ75" t="s">
        <v>133</v>
      </c>
      <c r="AK75" t="s">
        <v>73</v>
      </c>
      <c r="AL75">
        <v>-8.9887378745148339E-3</v>
      </c>
      <c r="AM75">
        <v>6.363497305542096E-3</v>
      </c>
      <c r="AN75">
        <v>-2.2135149216363568E-3</v>
      </c>
      <c r="AO75">
        <v>-1.1617486403614001E-2</v>
      </c>
      <c r="AP75">
        <v>5.1147422766515474E-3</v>
      </c>
      <c r="AQ75">
        <f>RESULTADOS_R!$T$19+(RESULTADOS_R!$T$20*AL74)+(RESULTADOS_R!$T$21*AL73)+(RESULTADOS_R!$T$22*AL72)+(RESULTADOS_R!$T$23*AL71)</f>
        <v>3.8286232482313111E-3</v>
      </c>
      <c r="AR75">
        <f t="shared" si="12"/>
        <v>-1.2817361122746146E-2</v>
      </c>
      <c r="AS75" s="3"/>
      <c r="AT75" t="s">
        <v>133</v>
      </c>
      <c r="AU75" t="s">
        <v>73</v>
      </c>
      <c r="AV75">
        <v>-7.0946477778086204E-3</v>
      </c>
      <c r="AW75">
        <v>1.0736359110751763E-2</v>
      </c>
      <c r="AX75">
        <v>-1.0260889990700425E-2</v>
      </c>
      <c r="AY75">
        <f>RESULTADOS_R!$T$24+(RESULTADOS_R!$T$25*AV74)+(RESULTADOS_R!$T$26*AV73)</f>
        <v>1.3217543869893558E-3</v>
      </c>
      <c r="AZ75">
        <f t="shared" si="10"/>
        <v>-8.4164021647979755E-3</v>
      </c>
      <c r="BA75" s="3"/>
      <c r="BB75" t="s">
        <v>133</v>
      </c>
      <c r="BC75" t="s">
        <v>73</v>
      </c>
      <c r="BD75">
        <v>-1.1299377005460761E-4</v>
      </c>
      <c r="BE75">
        <v>-9.6506275264165802E-4</v>
      </c>
      <c r="BF75">
        <f>RESULTADOS_R!$T$27+(RESULTADOS_R!$T$28*BD74)</f>
        <v>-1.1850136093463096E-4</v>
      </c>
      <c r="BG75">
        <f t="shared" si="8"/>
        <v>5.5075908800233497E-6</v>
      </c>
    </row>
    <row r="76" spans="1:59" x14ac:dyDescent="0.25">
      <c r="A76" t="s">
        <v>133</v>
      </c>
      <c r="B76" t="s">
        <v>74</v>
      </c>
      <c r="C76">
        <v>-1.4913338024940121E-3</v>
      </c>
      <c r="D76">
        <v>6.9582482353100234E-3</v>
      </c>
      <c r="E76">
        <v>-2.8746197165215388E-3</v>
      </c>
      <c r="F76">
        <v>6.6178739646443763E-3</v>
      </c>
      <c r="G76">
        <v>4.8996292339100979E-3</v>
      </c>
      <c r="H76">
        <f>RESULTADOS_R!$T$4+(RESULTADOS_R!$T$5*C75)+(RESULTADOS_R!$T$6*C74)+(RESULTADOS_R!$T$7*C73)+(RESULTADOS_R!$T$8*C72)</f>
        <v>1.0400654242661567E-3</v>
      </c>
      <c r="I76">
        <f t="shared" si="11"/>
        <v>-2.531399226760169E-3</v>
      </c>
      <c r="J76" s="3"/>
      <c r="K76" t="s">
        <v>133</v>
      </c>
      <c r="L76" t="s">
        <v>74</v>
      </c>
      <c r="M76">
        <v>1.1807072450117696E-4</v>
      </c>
      <c r="N76">
        <v>-1.1807072450113539E-4</v>
      </c>
      <c r="O76">
        <v>2.3615539134423419E-4</v>
      </c>
      <c r="P76">
        <v>1.1809861247868839E-4</v>
      </c>
      <c r="Q76">
        <v>-4.7231078927364436E-4</v>
      </c>
      <c r="R76">
        <v>0</v>
      </c>
      <c r="S76">
        <f>RESULTADOS_R!$T$9+(RESULTADOS_R!$T$10*M75)+(RESULTADOS_R!$T$11*M74)+(RESULTADOS_R!$T$12*M73)+(RESULTADOS_R!$T$13*M72)+(RESULTADOS_R!$T$14*M71)</f>
        <v>-2.3836878329710179E-5</v>
      </c>
      <c r="T76">
        <f t="shared" si="13"/>
        <v>1.4190760283088713E-4</v>
      </c>
      <c r="U76" s="3"/>
      <c r="V76" t="s">
        <v>133</v>
      </c>
      <c r="W76" t="s">
        <v>74</v>
      </c>
      <c r="X76">
        <v>8.0596458901553633E-2</v>
      </c>
      <c r="Y76">
        <v>-2.7417057825378189E-3</v>
      </c>
      <c r="Z76">
        <v>3.5836980000252268E-2</v>
      </c>
      <c r="AA76">
        <f>RESULTADOS_R!$T$15+(RESULTADOS_R!$T$16*'EV1-ER-AR'!X75)+(RESULTADOS_R!$T$17*'EV1-ER-AR'!X74)</f>
        <v>-7.0529700503921527E-3</v>
      </c>
      <c r="AB76">
        <f t="shared" si="9"/>
        <v>8.7649428951945788E-2</v>
      </c>
      <c r="AC76" s="3"/>
      <c r="AD76" t="s">
        <v>133</v>
      </c>
      <c r="AE76" t="s">
        <v>74</v>
      </c>
      <c r="AF76">
        <v>0.14033321572554708</v>
      </c>
      <c r="AG76">
        <f>RESULTADOS_R!$T$18</f>
        <v>4.3639999999999998E-3</v>
      </c>
      <c r="AH76">
        <f t="shared" si="7"/>
        <v>0.13596921572554707</v>
      </c>
      <c r="AI76" s="3"/>
      <c r="AJ76" t="s">
        <v>133</v>
      </c>
      <c r="AK76" t="s">
        <v>74</v>
      </c>
      <c r="AL76">
        <v>-1.2473060133843753E-3</v>
      </c>
      <c r="AM76">
        <v>-8.9887378745148339E-3</v>
      </c>
      <c r="AN76">
        <v>6.363497305542096E-3</v>
      </c>
      <c r="AO76">
        <v>-2.2135149216363568E-3</v>
      </c>
      <c r="AP76">
        <v>-1.1617486403614001E-2</v>
      </c>
      <c r="AQ76">
        <f>RESULTADOS_R!$T$19+(RESULTADOS_R!$T$20*AL75)+(RESULTADOS_R!$T$21*AL74)+(RESULTADOS_R!$T$22*AL73)+(RESULTADOS_R!$T$23*AL72)</f>
        <v>-2.8868177252371432E-4</v>
      </c>
      <c r="AR76">
        <f t="shared" si="12"/>
        <v>-9.5862424086066099E-4</v>
      </c>
      <c r="AS76" s="3"/>
      <c r="AT76" t="s">
        <v>133</v>
      </c>
      <c r="AU76" t="s">
        <v>74</v>
      </c>
      <c r="AV76">
        <v>-9.7951975390966426E-3</v>
      </c>
      <c r="AW76">
        <v>-7.0946477778086204E-3</v>
      </c>
      <c r="AX76">
        <v>1.0736359110751763E-2</v>
      </c>
      <c r="AY76">
        <f>RESULTADOS_R!$T$24+(RESULTADOS_R!$T$25*AV75)+(RESULTADOS_R!$T$26*AV74)</f>
        <v>1.0583425318849314E-4</v>
      </c>
      <c r="AZ76">
        <f t="shared" si="10"/>
        <v>-9.9010317922851362E-3</v>
      </c>
      <c r="BA76" s="3"/>
      <c r="BB76" t="s">
        <v>133</v>
      </c>
      <c r="BC76" t="s">
        <v>74</v>
      </c>
      <c r="BD76">
        <v>2.7732555630006079E-4</v>
      </c>
      <c r="BE76">
        <v>-1.1299377005460761E-4</v>
      </c>
      <c r="BF76">
        <f>RESULTADOS_R!$T$27+(RESULTADOS_R!$T$28*BD75)</f>
        <v>4.4087869926371566E-5</v>
      </c>
      <c r="BG76">
        <f t="shared" si="8"/>
        <v>2.3323768637368924E-4</v>
      </c>
    </row>
    <row r="77" spans="1:59" x14ac:dyDescent="0.25">
      <c r="A77" t="s">
        <v>133</v>
      </c>
      <c r="B77" t="s">
        <v>75</v>
      </c>
      <c r="C77">
        <v>1.8562196276876845E-3</v>
      </c>
      <c r="D77">
        <v>-1.4913338024940121E-3</v>
      </c>
      <c r="E77">
        <v>6.9582482353100234E-3</v>
      </c>
      <c r="F77">
        <v>-2.8746197165215388E-3</v>
      </c>
      <c r="G77">
        <v>6.6178739646443763E-3</v>
      </c>
      <c r="H77">
        <f>RESULTADOS_R!$T$4+(RESULTADOS_R!$T$5*C76)+(RESULTADOS_R!$T$6*C75)+(RESULTADOS_R!$T$7*C74)+(RESULTADOS_R!$T$8*C73)</f>
        <v>3.1405755095445468E-3</v>
      </c>
      <c r="I77">
        <f t="shared" si="11"/>
        <v>-1.2843558818568623E-3</v>
      </c>
      <c r="J77" s="3"/>
      <c r="K77" t="s">
        <v>133</v>
      </c>
      <c r="L77" t="s">
        <v>75</v>
      </c>
      <c r="M77">
        <v>4.7214354040430974E-4</v>
      </c>
      <c r="N77">
        <v>1.1807072450117696E-4</v>
      </c>
      <c r="O77">
        <v>-1.1807072450113539E-4</v>
      </c>
      <c r="P77">
        <v>2.3615539134423419E-4</v>
      </c>
      <c r="Q77">
        <v>1.1809861247868839E-4</v>
      </c>
      <c r="R77">
        <v>-4.7231078927364436E-4</v>
      </c>
      <c r="S77">
        <f>RESULTADOS_R!$T$9+(RESULTADOS_R!$T$10*M76)+(RESULTADOS_R!$T$11*M75)+(RESULTADOS_R!$T$12*M74)+(RESULTADOS_R!$T$13*M73)+(RESULTADOS_R!$T$14*M72)</f>
        <v>-1.7232207053065062E-5</v>
      </c>
      <c r="T77">
        <f t="shared" si="13"/>
        <v>4.8937574745737476E-4</v>
      </c>
      <c r="U77" s="3"/>
      <c r="V77" t="s">
        <v>133</v>
      </c>
      <c r="W77" t="s">
        <v>75</v>
      </c>
      <c r="X77">
        <v>-2.3537766343372036E-3</v>
      </c>
      <c r="Y77">
        <v>8.0596458901553633E-2</v>
      </c>
      <c r="Z77">
        <v>-2.7417057825378189E-3</v>
      </c>
      <c r="AA77">
        <f>RESULTADOS_R!$T$15+(RESULTADOS_R!$T$16*'EV1-ER-AR'!X76)+(RESULTADOS_R!$T$17*'EV1-ER-AR'!X75)</f>
        <v>2.124766830571834E-2</v>
      </c>
      <c r="AB77">
        <f t="shared" si="9"/>
        <v>-2.3601444940055543E-2</v>
      </c>
      <c r="AC77" s="3"/>
      <c r="AD77" t="s">
        <v>133</v>
      </c>
      <c r="AE77" t="s">
        <v>75</v>
      </c>
      <c r="AF77">
        <v>1.6576647890978312E-3</v>
      </c>
      <c r="AG77">
        <f>RESULTADOS_R!$T$18</f>
        <v>4.3639999999999998E-3</v>
      </c>
      <c r="AH77">
        <f t="shared" si="7"/>
        <v>-2.7063352109021688E-3</v>
      </c>
      <c r="AI77" s="3"/>
      <c r="AJ77" t="s">
        <v>133</v>
      </c>
      <c r="AK77" t="s">
        <v>75</v>
      </c>
      <c r="AL77">
        <v>6.3302774435106315E-3</v>
      </c>
      <c r="AM77">
        <v>-1.2473060133843753E-3</v>
      </c>
      <c r="AN77">
        <v>-8.9887378745148339E-3</v>
      </c>
      <c r="AO77">
        <v>6.363497305542096E-3</v>
      </c>
      <c r="AP77">
        <v>-2.2135149216363568E-3</v>
      </c>
      <c r="AQ77">
        <f>RESULTADOS_R!$T$19+(RESULTADOS_R!$T$20*AL76)+(RESULTADOS_R!$T$21*AL75)+(RESULTADOS_R!$T$22*AL74)+(RESULTADOS_R!$T$23*AL73)</f>
        <v>-1.1570456999277553E-3</v>
      </c>
      <c r="AR77">
        <f t="shared" si="12"/>
        <v>7.4873231434383868E-3</v>
      </c>
      <c r="AS77" s="3"/>
      <c r="AT77" t="s">
        <v>133</v>
      </c>
      <c r="AU77" t="s">
        <v>75</v>
      </c>
      <c r="AV77">
        <v>1.1280416548120542E-2</v>
      </c>
      <c r="AW77">
        <v>-9.7951975390966426E-3</v>
      </c>
      <c r="AX77">
        <v>-7.0946477778086204E-3</v>
      </c>
      <c r="AY77">
        <f>RESULTADOS_R!$T$24+(RESULTADOS_R!$T$25*AV76)+(RESULTADOS_R!$T$26*AV75)</f>
        <v>2.0314375101972565E-3</v>
      </c>
      <c r="AZ77">
        <f t="shared" si="10"/>
        <v>9.2489790379232852E-3</v>
      </c>
      <c r="BA77" s="3"/>
      <c r="BB77" t="s">
        <v>133</v>
      </c>
      <c r="BC77" t="s">
        <v>75</v>
      </c>
      <c r="BD77">
        <v>-1.4696741099922896E-3</v>
      </c>
      <c r="BE77">
        <v>2.7732555630006079E-4</v>
      </c>
      <c r="BF77">
        <f>RESULTADOS_R!$T$27+(RESULTADOS_R!$T$28*BD76)</f>
        <v>1.1856742540732312E-4</v>
      </c>
      <c r="BG77">
        <f t="shared" si="8"/>
        <v>-1.5882415353996127E-3</v>
      </c>
    </row>
    <row r="78" spans="1:59" x14ac:dyDescent="0.25">
      <c r="A78" t="s">
        <v>133</v>
      </c>
      <c r="B78" t="s">
        <v>76</v>
      </c>
      <c r="C78">
        <v>8.3256865174318826E-3</v>
      </c>
      <c r="D78">
        <v>1.8562196276876845E-3</v>
      </c>
      <c r="E78">
        <v>-1.4913338024940121E-3</v>
      </c>
      <c r="F78">
        <v>6.9582482353100234E-3</v>
      </c>
      <c r="G78">
        <v>-2.8746197165215388E-3</v>
      </c>
      <c r="H78">
        <f>RESULTADOS_R!$T$4+(RESULTADOS_R!$T$5*C77)+(RESULTADOS_R!$T$6*C76)+(RESULTADOS_R!$T$7*C75)+(RESULTADOS_R!$T$8*C74)</f>
        <v>-2.2999930249629802E-4</v>
      </c>
      <c r="I78">
        <f t="shared" si="11"/>
        <v>8.5556858199281813E-3</v>
      </c>
      <c r="J78" s="3"/>
      <c r="K78" t="s">
        <v>133</v>
      </c>
      <c r="L78" t="s">
        <v>76</v>
      </c>
      <c r="M78">
        <v>0</v>
      </c>
      <c r="N78">
        <v>4.7214354040430974E-4</v>
      </c>
      <c r="O78">
        <v>1.1807072450117696E-4</v>
      </c>
      <c r="P78">
        <v>-1.1807072450113539E-4</v>
      </c>
      <c r="Q78">
        <v>2.3615539134423419E-4</v>
      </c>
      <c r="R78">
        <v>1.1809861247868839E-4</v>
      </c>
      <c r="S78">
        <f>RESULTADOS_R!$T$9+(RESULTADOS_R!$T$10*M77)+(RESULTADOS_R!$T$11*M76)+(RESULTADOS_R!$T$12*M75)+(RESULTADOS_R!$T$13*M74)+(RESULTADOS_R!$T$14*M73)</f>
        <v>-4.6591927113364597E-5</v>
      </c>
      <c r="T78">
        <f t="shared" si="13"/>
        <v>4.6591927113364597E-5</v>
      </c>
      <c r="U78" s="3"/>
      <c r="V78" t="s">
        <v>133</v>
      </c>
      <c r="W78" t="s">
        <v>76</v>
      </c>
      <c r="X78">
        <v>-9.4947353923133578E-3</v>
      </c>
      <c r="Y78">
        <v>-2.3537766343372036E-3</v>
      </c>
      <c r="Z78">
        <v>8.0596458901553633E-2</v>
      </c>
      <c r="AA78">
        <f>RESULTADOS_R!$T$15+(RESULTADOS_R!$T$16*'EV1-ER-AR'!X77)+(RESULTADOS_R!$T$17*'EV1-ER-AR'!X76)</f>
        <v>-1.7010636717682513E-2</v>
      </c>
      <c r="AB78">
        <f t="shared" si="9"/>
        <v>7.5159013253691554E-3</v>
      </c>
      <c r="AC78" s="3"/>
      <c r="AD78" t="s">
        <v>133</v>
      </c>
      <c r="AE78" t="s">
        <v>76</v>
      </c>
      <c r="AF78">
        <v>-1.1128689510333661E-2</v>
      </c>
      <c r="AG78">
        <f>RESULTADOS_R!$T$18</f>
        <v>4.3639999999999998E-3</v>
      </c>
      <c r="AH78">
        <f t="shared" si="7"/>
        <v>-1.5492689510333661E-2</v>
      </c>
      <c r="AI78" s="3"/>
      <c r="AJ78" t="s">
        <v>133</v>
      </c>
      <c r="AK78" t="s">
        <v>76</v>
      </c>
      <c r="AL78">
        <v>-2.1872133982457852E-3</v>
      </c>
      <c r="AM78">
        <v>6.3302774435106315E-3</v>
      </c>
      <c r="AN78">
        <v>-1.2473060133843753E-3</v>
      </c>
      <c r="AO78">
        <v>-8.9887378745148339E-3</v>
      </c>
      <c r="AP78">
        <v>6.363497305542096E-3</v>
      </c>
      <c r="AQ78">
        <f>RESULTADOS_R!$T$19+(RESULTADOS_R!$T$20*AL77)+(RESULTADOS_R!$T$21*AL76)+(RESULTADOS_R!$T$22*AL75)+(RESULTADOS_R!$T$23*AL74)</f>
        <v>3.4874962656663419E-3</v>
      </c>
      <c r="AR78">
        <f t="shared" si="12"/>
        <v>-5.6747096639121267E-3</v>
      </c>
      <c r="AS78" s="3"/>
      <c r="AT78" t="s">
        <v>133</v>
      </c>
      <c r="AU78" t="s">
        <v>76</v>
      </c>
      <c r="AV78">
        <v>-2.777539907234E-3</v>
      </c>
      <c r="AW78">
        <v>1.1280416548120542E-2</v>
      </c>
      <c r="AX78">
        <v>-9.7951975390966426E-3</v>
      </c>
      <c r="AY78">
        <f>RESULTADOS_R!$T$24+(RESULTADOS_R!$T$25*AV77)+(RESULTADOS_R!$T$26*AV76)</f>
        <v>1.2477632248583588E-3</v>
      </c>
      <c r="AZ78">
        <f t="shared" si="10"/>
        <v>-4.0253031320923588E-3</v>
      </c>
      <c r="BA78" s="3"/>
      <c r="BB78" t="s">
        <v>133</v>
      </c>
      <c r="BC78" t="s">
        <v>76</v>
      </c>
      <c r="BD78">
        <v>9.3549703814040943E-4</v>
      </c>
      <c r="BE78">
        <v>-1.4696741099922896E-3</v>
      </c>
      <c r="BF78">
        <f>RESULTADOS_R!$T$27+(RESULTADOS_R!$T$28*BD77)</f>
        <v>-2.1478977672259066E-4</v>
      </c>
      <c r="BG78">
        <f t="shared" si="8"/>
        <v>1.1502868148630001E-3</v>
      </c>
    </row>
    <row r="79" spans="1:59" x14ac:dyDescent="0.25">
      <c r="A79" t="s">
        <v>133</v>
      </c>
      <c r="B79" t="s">
        <v>77</v>
      </c>
      <c r="C79">
        <v>3.8517139578548073E-3</v>
      </c>
      <c r="D79">
        <v>8.3256865174318826E-3</v>
      </c>
      <c r="E79">
        <v>1.8562196276876845E-3</v>
      </c>
      <c r="F79">
        <v>-1.4913338024940121E-3</v>
      </c>
      <c r="G79">
        <v>6.9582482353100234E-3</v>
      </c>
      <c r="H79">
        <f>RESULTADOS_R!$T$4+(RESULTADOS_R!$T$5*C78)+(RESULTADOS_R!$T$6*C77)+(RESULTADOS_R!$T$7*C76)+(RESULTADOS_R!$T$8*C75)</f>
        <v>2.6353297304549913E-3</v>
      </c>
      <c r="I79">
        <f t="shared" si="11"/>
        <v>1.216384227399816E-3</v>
      </c>
      <c r="J79" s="3"/>
      <c r="K79" t="s">
        <v>133</v>
      </c>
      <c r="L79" t="s">
        <v>77</v>
      </c>
      <c r="M79">
        <v>3.5396142190107101E-4</v>
      </c>
      <c r="N79">
        <v>0</v>
      </c>
      <c r="O79">
        <v>4.7214354040430974E-4</v>
      </c>
      <c r="P79">
        <v>1.1807072450117696E-4</v>
      </c>
      <c r="Q79">
        <v>-1.1807072450113539E-4</v>
      </c>
      <c r="R79">
        <v>2.3615539134423419E-4</v>
      </c>
      <c r="S79">
        <f>RESULTADOS_R!$T$9+(RESULTADOS_R!$T$10*M78)+(RESULTADOS_R!$T$11*M77)+(RESULTADOS_R!$T$12*M76)+(RESULTADOS_R!$T$13*M75)+(RESULTADOS_R!$T$14*M74)</f>
        <v>-4.1162124785895663E-5</v>
      </c>
      <c r="T79">
        <f t="shared" si="13"/>
        <v>3.9512354668696668E-4</v>
      </c>
      <c r="U79" s="3"/>
      <c r="V79" t="s">
        <v>133</v>
      </c>
      <c r="W79" t="s">
        <v>77</v>
      </c>
      <c r="X79">
        <v>2.3255335062577057E-2</v>
      </c>
      <c r="Y79">
        <v>-9.4947353923133578E-3</v>
      </c>
      <c r="Z79">
        <v>-2.3537766343372036E-3</v>
      </c>
      <c r="AA79">
        <f>RESULTADOS_R!$T$15+(RESULTADOS_R!$T$16*'EV1-ER-AR'!X78)+(RESULTADOS_R!$T$17*'EV1-ER-AR'!X77)</f>
        <v>-7.0047404841440484E-5</v>
      </c>
      <c r="AB79">
        <f t="shared" si="9"/>
        <v>2.3325382467418498E-2</v>
      </c>
      <c r="AC79" s="3"/>
      <c r="AD79" t="s">
        <v>133</v>
      </c>
      <c r="AE79" t="s">
        <v>77</v>
      </c>
      <c r="AF79">
        <v>3.8128128876137625E-2</v>
      </c>
      <c r="AG79">
        <f>RESULTADOS_R!$T$18</f>
        <v>4.3639999999999998E-3</v>
      </c>
      <c r="AH79">
        <f t="shared" si="7"/>
        <v>3.3764128876137625E-2</v>
      </c>
      <c r="AI79" s="3"/>
      <c r="AJ79" t="s">
        <v>133</v>
      </c>
      <c r="AK79" t="s">
        <v>77</v>
      </c>
      <c r="AL79">
        <v>2.4570669079789242E-3</v>
      </c>
      <c r="AM79">
        <v>-2.1872133982457852E-3</v>
      </c>
      <c r="AN79">
        <v>6.3302774435106315E-3</v>
      </c>
      <c r="AO79">
        <v>-1.2473060133843753E-3</v>
      </c>
      <c r="AP79">
        <v>-8.9887378745148339E-3</v>
      </c>
      <c r="AQ79">
        <f>RESULTADOS_R!$T$19+(RESULTADOS_R!$T$20*AL78)+(RESULTADOS_R!$T$21*AL77)+(RESULTADOS_R!$T$22*AL76)+(RESULTADOS_R!$T$23*AL75)</f>
        <v>2.8334314850317094E-4</v>
      </c>
      <c r="AR79">
        <f t="shared" si="12"/>
        <v>2.1737237594757534E-3</v>
      </c>
      <c r="AS79" s="3"/>
      <c r="AT79" t="s">
        <v>133</v>
      </c>
      <c r="AU79" t="s">
        <v>77</v>
      </c>
      <c r="AV79">
        <v>3.2054520083931674E-3</v>
      </c>
      <c r="AW79">
        <v>-2.777539907234E-3</v>
      </c>
      <c r="AX79">
        <v>1.1280416548120542E-2</v>
      </c>
      <c r="AY79">
        <f>RESULTADOS_R!$T$24+(RESULTADOS_R!$T$25*AV78)+(RESULTADOS_R!$T$26*AV77)</f>
        <v>-1.6486796864422675E-4</v>
      </c>
      <c r="AZ79">
        <f t="shared" si="10"/>
        <v>3.3703199770373942E-3</v>
      </c>
      <c r="BA79" s="3"/>
      <c r="BB79" t="s">
        <v>133</v>
      </c>
      <c r="BC79" t="s">
        <v>77</v>
      </c>
      <c r="BD79">
        <v>2.9344490240255086E-3</v>
      </c>
      <c r="BE79">
        <v>9.3549703814040943E-4</v>
      </c>
      <c r="BF79">
        <f>RESULTADOS_R!$T$27+(RESULTADOS_R!$T$28*BD78)</f>
        <v>2.4415772055239477E-4</v>
      </c>
      <c r="BG79">
        <f t="shared" si="8"/>
        <v>2.6902913034731139E-3</v>
      </c>
    </row>
    <row r="80" spans="1:59" x14ac:dyDescent="0.25">
      <c r="A80" t="s">
        <v>133</v>
      </c>
      <c r="B80" t="s">
        <v>78</v>
      </c>
      <c r="C80">
        <v>-2.6464589005408593E-3</v>
      </c>
      <c r="D80">
        <v>3.8517139578548073E-3</v>
      </c>
      <c r="E80">
        <v>8.3256865174318826E-3</v>
      </c>
      <c r="F80">
        <v>1.8562196276876845E-3</v>
      </c>
      <c r="G80">
        <v>-1.4913338024940121E-3</v>
      </c>
      <c r="H80">
        <f>RESULTADOS_R!$T$4+(RESULTADOS_R!$T$5*C79)+(RESULTADOS_R!$T$6*C78)+(RESULTADOS_R!$T$7*C77)+(RESULTADOS_R!$T$8*C76)</f>
        <v>-4.5713590575024874E-4</v>
      </c>
      <c r="I80">
        <f t="shared" si="11"/>
        <v>-2.1893229947906106E-3</v>
      </c>
      <c r="J80" s="3"/>
      <c r="K80" t="s">
        <v>133</v>
      </c>
      <c r="L80" t="s">
        <v>78</v>
      </c>
      <c r="M80">
        <v>2.3590469559767746E-4</v>
      </c>
      <c r="N80">
        <v>3.5396142190107101E-4</v>
      </c>
      <c r="O80">
        <v>0</v>
      </c>
      <c r="P80">
        <v>4.7214354040430974E-4</v>
      </c>
      <c r="Q80">
        <v>1.1807072450117696E-4</v>
      </c>
      <c r="R80">
        <v>-1.1807072450113539E-4</v>
      </c>
      <c r="S80">
        <f>RESULTADOS_R!$T$9+(RESULTADOS_R!$T$10*M79)+(RESULTADOS_R!$T$11*M78)+(RESULTADOS_R!$T$12*M77)+(RESULTADOS_R!$T$13*M76)+(RESULTADOS_R!$T$14*M75)</f>
        <v>-1.1881767067983026E-4</v>
      </c>
      <c r="T80">
        <f t="shared" si="13"/>
        <v>3.547223662775077E-4</v>
      </c>
      <c r="U80" s="3"/>
      <c r="V80" t="s">
        <v>133</v>
      </c>
      <c r="W80" t="s">
        <v>78</v>
      </c>
      <c r="X80">
        <v>-2.0724202986603803E-2</v>
      </c>
      <c r="Y80">
        <v>2.3255335062577057E-2</v>
      </c>
      <c r="Z80">
        <v>-9.4947353923133578E-3</v>
      </c>
      <c r="AA80">
        <f>RESULTADOS_R!$T$15+(RESULTADOS_R!$T$16*'EV1-ER-AR'!X79)+(RESULTADOS_R!$T$17*'EV1-ER-AR'!X78)</f>
        <v>9.2509740219761695E-3</v>
      </c>
      <c r="AB80">
        <f t="shared" si="9"/>
        <v>-2.9975177008579972E-2</v>
      </c>
      <c r="AC80" s="3"/>
      <c r="AD80" t="s">
        <v>133</v>
      </c>
      <c r="AE80" t="s">
        <v>78</v>
      </c>
      <c r="AF80">
        <v>-6.3604725890250907E-3</v>
      </c>
      <c r="AG80">
        <f>RESULTADOS_R!$T$18</f>
        <v>4.3639999999999998E-3</v>
      </c>
      <c r="AH80">
        <f t="shared" si="7"/>
        <v>-1.0724472589025091E-2</v>
      </c>
      <c r="AI80" s="3"/>
      <c r="AJ80" t="s">
        <v>133</v>
      </c>
      <c r="AK80" t="s">
        <v>78</v>
      </c>
      <c r="AL80">
        <v>9.0540455612494509E-4</v>
      </c>
      <c r="AM80">
        <v>2.4570669079789242E-3</v>
      </c>
      <c r="AN80">
        <v>-2.1872133982457852E-3</v>
      </c>
      <c r="AO80">
        <v>6.3302774435106315E-3</v>
      </c>
      <c r="AP80">
        <v>-1.2473060133843753E-3</v>
      </c>
      <c r="AQ80">
        <f>RESULTADOS_R!$T$19+(RESULTADOS_R!$T$20*AL79)+(RESULTADOS_R!$T$21*AL78)+(RESULTADOS_R!$T$22*AL77)+(RESULTADOS_R!$T$23*AL76)</f>
        <v>-4.7158722620596085E-4</v>
      </c>
      <c r="AR80">
        <f t="shared" si="12"/>
        <v>1.3769917823309059E-3</v>
      </c>
      <c r="AS80" s="3"/>
      <c r="AT80" t="s">
        <v>133</v>
      </c>
      <c r="AU80" t="s">
        <v>78</v>
      </c>
      <c r="AV80">
        <v>-1.2641941009280599E-2</v>
      </c>
      <c r="AW80">
        <v>3.2054520083931674E-3</v>
      </c>
      <c r="AX80">
        <v>-2.777539907234E-3</v>
      </c>
      <c r="AY80">
        <f>RESULTADOS_R!$T$24+(RESULTADOS_R!$T$25*AV79)+(RESULTADOS_R!$T$26*AV78)</f>
        <v>9.4726339149353708E-4</v>
      </c>
      <c r="AZ80">
        <f t="shared" si="10"/>
        <v>-1.3589204400774137E-2</v>
      </c>
      <c r="BA80" s="3"/>
      <c r="BB80" t="s">
        <v>133</v>
      </c>
      <c r="BC80" t="s">
        <v>78</v>
      </c>
      <c r="BD80">
        <v>-7.6869075257914835E-4</v>
      </c>
      <c r="BE80">
        <v>2.9344490240255086E-3</v>
      </c>
      <c r="BF80">
        <f>RESULTADOS_R!$T$27+(RESULTADOS_R!$T$28*BD79)</f>
        <v>6.2559170366294399E-4</v>
      </c>
      <c r="BG80">
        <f t="shared" si="8"/>
        <v>-1.3942824562420924E-3</v>
      </c>
    </row>
    <row r="81" spans="1:59" x14ac:dyDescent="0.25">
      <c r="A81" t="s">
        <v>133</v>
      </c>
      <c r="B81" t="s">
        <v>79</v>
      </c>
      <c r="C81">
        <v>3.0108692606949431E-4</v>
      </c>
      <c r="D81">
        <v>-2.6464589005408593E-3</v>
      </c>
      <c r="E81">
        <v>3.8517139578548073E-3</v>
      </c>
      <c r="F81">
        <v>8.3256865174318826E-3</v>
      </c>
      <c r="G81">
        <v>1.8562196276876845E-3</v>
      </c>
      <c r="H81">
        <f>RESULTADOS_R!$T$4+(RESULTADOS_R!$T$5*C80)+(RESULTADOS_R!$T$6*C79)+(RESULTADOS_R!$T$7*C78)+(RESULTADOS_R!$T$8*C77)</f>
        <v>-7.5301563706444644E-5</v>
      </c>
      <c r="I81">
        <f t="shared" si="11"/>
        <v>3.7638848977593895E-4</v>
      </c>
      <c r="J81" s="3"/>
      <c r="K81" t="s">
        <v>133</v>
      </c>
      <c r="L81" t="s">
        <v>79</v>
      </c>
      <c r="M81">
        <v>1.768920078906333E-4</v>
      </c>
      <c r="N81">
        <v>2.3590469559767746E-4</v>
      </c>
      <c r="O81">
        <v>3.5396142190107101E-4</v>
      </c>
      <c r="P81">
        <v>0</v>
      </c>
      <c r="Q81">
        <v>4.7214354040430974E-4</v>
      </c>
      <c r="R81">
        <v>1.1807072450117696E-4</v>
      </c>
      <c r="S81">
        <f>RESULTADOS_R!$T$9+(RESULTADOS_R!$T$10*M80)+(RESULTADOS_R!$T$11*M79)+(RESULTADOS_R!$T$12*M78)+(RESULTADOS_R!$T$13*M77)+(RESULTADOS_R!$T$14*M76)</f>
        <v>-2.0778324403301713E-5</v>
      </c>
      <c r="T81">
        <f t="shared" si="13"/>
        <v>1.9767033229393501E-4</v>
      </c>
      <c r="U81" s="3"/>
      <c r="V81" t="s">
        <v>133</v>
      </c>
      <c r="W81" t="s">
        <v>79</v>
      </c>
      <c r="X81">
        <v>-7.461973125666173E-3</v>
      </c>
      <c r="Y81">
        <v>-2.0724202986603803E-2</v>
      </c>
      <c r="Z81">
        <v>2.3255335062577057E-2</v>
      </c>
      <c r="AA81">
        <f>RESULTADOS_R!$T$15+(RESULTADOS_R!$T$16*'EV1-ER-AR'!X80)+(RESULTADOS_R!$T$17*'EV1-ER-AR'!X79)</f>
        <v>-8.4659285441184562E-3</v>
      </c>
      <c r="AB81">
        <f t="shared" si="9"/>
        <v>1.0039554184522832E-3</v>
      </c>
      <c r="AC81" s="3"/>
      <c r="AD81" t="s">
        <v>133</v>
      </c>
      <c r="AE81" t="s">
        <v>79</v>
      </c>
      <c r="AF81">
        <v>-8.302048916788719E-3</v>
      </c>
      <c r="AG81">
        <f>RESULTADOS_R!$T$18</f>
        <v>4.3639999999999998E-3</v>
      </c>
      <c r="AH81">
        <f t="shared" si="7"/>
        <v>-1.2666048916788719E-2</v>
      </c>
      <c r="AI81" s="3"/>
      <c r="AJ81" t="s">
        <v>133</v>
      </c>
      <c r="AK81" t="s">
        <v>79</v>
      </c>
      <c r="AL81">
        <v>5.7107475893758647E-4</v>
      </c>
      <c r="AM81">
        <v>9.0540455612494509E-4</v>
      </c>
      <c r="AN81">
        <v>2.4570669079789242E-3</v>
      </c>
      <c r="AO81">
        <v>-2.1872133982457852E-3</v>
      </c>
      <c r="AP81">
        <v>6.3302774435106315E-3</v>
      </c>
      <c r="AQ81">
        <f>RESULTADOS_R!$T$19+(RESULTADOS_R!$T$20*AL80)+(RESULTADOS_R!$T$21*AL79)+(RESULTADOS_R!$T$22*AL78)+(RESULTADOS_R!$T$23*AL77)</f>
        <v>1.9529447697771056E-3</v>
      </c>
      <c r="AR81">
        <f t="shared" si="12"/>
        <v>-1.3818700108395193E-3</v>
      </c>
      <c r="AS81" s="3"/>
      <c r="AT81" t="s">
        <v>133</v>
      </c>
      <c r="AU81" t="s">
        <v>79</v>
      </c>
      <c r="AV81">
        <v>2.5793704119013538E-3</v>
      </c>
      <c r="AW81">
        <v>-1.2641941009280599E-2</v>
      </c>
      <c r="AX81">
        <v>3.2054520083931674E-3</v>
      </c>
      <c r="AY81">
        <f>RESULTADOS_R!$T$24+(RESULTADOS_R!$T$25*AV80)+(RESULTADOS_R!$T$26*AV79)</f>
        <v>1.1396683752108252E-3</v>
      </c>
      <c r="AZ81">
        <f t="shared" si="10"/>
        <v>1.4397020366905286E-3</v>
      </c>
      <c r="BA81" s="3"/>
      <c r="BB81" t="s">
        <v>133</v>
      </c>
      <c r="BC81" t="s">
        <v>79</v>
      </c>
      <c r="BD81">
        <v>-4.1013442161491355E-5</v>
      </c>
      <c r="BE81">
        <v>-7.6869075257914835E-4</v>
      </c>
      <c r="BF81">
        <f>RESULTADOS_R!$T$27+(RESULTADOS_R!$T$28*BD80)</f>
        <v>-8.1030248729771061E-5</v>
      </c>
      <c r="BG81">
        <f t="shared" si="8"/>
        <v>4.0016806568279706E-5</v>
      </c>
    </row>
    <row r="82" spans="1:59" x14ac:dyDescent="0.25">
      <c r="A82" t="s">
        <v>133</v>
      </c>
      <c r="B82" t="s">
        <v>80</v>
      </c>
      <c r="C82">
        <v>1.1132340595772449E-3</v>
      </c>
      <c r="D82">
        <v>3.0108692606949431E-4</v>
      </c>
      <c r="E82">
        <v>-2.6464589005408593E-3</v>
      </c>
      <c r="F82">
        <v>3.8517139578548073E-3</v>
      </c>
      <c r="G82">
        <v>8.3256865174318826E-3</v>
      </c>
      <c r="H82">
        <f>RESULTADOS_R!$T$4+(RESULTADOS_R!$T$5*C81)+(RESULTADOS_R!$T$6*C80)+(RESULTADOS_R!$T$7*C79)+(RESULTADOS_R!$T$8*C78)</f>
        <v>3.0983720261442927E-3</v>
      </c>
      <c r="I82">
        <f t="shared" si="11"/>
        <v>-1.9851379665670479E-3</v>
      </c>
      <c r="J82" s="3"/>
      <c r="K82" t="s">
        <v>133</v>
      </c>
      <c r="L82" t="s">
        <v>80</v>
      </c>
      <c r="M82">
        <v>4.1262637267935583E-4</v>
      </c>
      <c r="N82">
        <v>1.768920078906333E-4</v>
      </c>
      <c r="O82">
        <v>2.3590469559767746E-4</v>
      </c>
      <c r="P82">
        <v>3.5396142190107101E-4</v>
      </c>
      <c r="Q82">
        <v>0</v>
      </c>
      <c r="R82">
        <v>4.7214354040430974E-4</v>
      </c>
      <c r="S82">
        <f>RESULTADOS_R!$T$9+(RESULTADOS_R!$T$10*M81)+(RESULTADOS_R!$T$11*M80)+(RESULTADOS_R!$T$12*M79)+(RESULTADOS_R!$T$13*M78)+(RESULTADOS_R!$T$14*M77)</f>
        <v>-1.3034423959179262E-4</v>
      </c>
      <c r="T82">
        <f t="shared" si="13"/>
        <v>5.4297061227114843E-4</v>
      </c>
      <c r="U82" s="3"/>
      <c r="V82" t="s">
        <v>133</v>
      </c>
      <c r="W82" t="s">
        <v>80</v>
      </c>
      <c r="X82">
        <v>-3.2115322613233049E-2</v>
      </c>
      <c r="Y82">
        <v>-7.461973125666173E-3</v>
      </c>
      <c r="Z82">
        <v>-2.0724202986603803E-2</v>
      </c>
      <c r="AA82">
        <f>RESULTADOS_R!$T$15+(RESULTADOS_R!$T$16*'EV1-ER-AR'!X81)+(RESULTADOS_R!$T$17*'EV1-ER-AR'!X80)</f>
        <v>4.5333867842562662E-3</v>
      </c>
      <c r="AB82">
        <f t="shared" si="9"/>
        <v>-3.6648709397489314E-2</v>
      </c>
      <c r="AC82" s="3"/>
      <c r="AD82" t="s">
        <v>133</v>
      </c>
      <c r="AE82" t="s">
        <v>80</v>
      </c>
      <c r="AF82">
        <v>-3.2401597932906527E-2</v>
      </c>
      <c r="AG82">
        <f>RESULTADOS_R!$T$18</f>
        <v>4.3639999999999998E-3</v>
      </c>
      <c r="AH82">
        <f t="shared" si="7"/>
        <v>-3.6765597932906527E-2</v>
      </c>
      <c r="AI82" s="3"/>
      <c r="AJ82" t="s">
        <v>133</v>
      </c>
      <c r="AK82" t="s">
        <v>80</v>
      </c>
      <c r="AL82">
        <v>2.8313024960671652E-3</v>
      </c>
      <c r="AM82">
        <v>5.7107475893758647E-4</v>
      </c>
      <c r="AN82">
        <v>9.0540455612494509E-4</v>
      </c>
      <c r="AO82">
        <v>2.4570669079789242E-3</v>
      </c>
      <c r="AP82">
        <v>-2.1872133982457852E-3</v>
      </c>
      <c r="AQ82">
        <f>RESULTADOS_R!$T$19+(RESULTADOS_R!$T$20*AL81)+(RESULTADOS_R!$T$21*AL80)+(RESULTADOS_R!$T$22*AL79)+(RESULTADOS_R!$T$23*AL78)</f>
        <v>1.7608699837509754E-4</v>
      </c>
      <c r="AR82">
        <f t="shared" si="12"/>
        <v>2.6552154976920675E-3</v>
      </c>
      <c r="AS82" s="3"/>
      <c r="AT82" t="s">
        <v>133</v>
      </c>
      <c r="AU82" t="s">
        <v>80</v>
      </c>
      <c r="AV82">
        <v>-1.9100056365567292E-3</v>
      </c>
      <c r="AW82">
        <v>2.5793704119013538E-3</v>
      </c>
      <c r="AX82">
        <v>-1.2641941009280599E-2</v>
      </c>
      <c r="AY82">
        <f>RESULTADOS_R!$T$24+(RESULTADOS_R!$T$25*AV81)+(RESULTADOS_R!$T$26*AV80)</f>
        <v>1.9690992609206937E-3</v>
      </c>
      <c r="AZ82">
        <f t="shared" si="10"/>
        <v>-3.8791048974774226E-3</v>
      </c>
      <c r="BA82" s="3"/>
      <c r="BB82" t="s">
        <v>133</v>
      </c>
      <c r="BC82" t="s">
        <v>80</v>
      </c>
      <c r="BD82">
        <v>1.7006458355568279E-3</v>
      </c>
      <c r="BE82">
        <v>-4.1013442161491355E-5</v>
      </c>
      <c r="BF82">
        <f>RESULTADOS_R!$T$27+(RESULTADOS_R!$T$28*BD81)</f>
        <v>5.7822938786326098E-5</v>
      </c>
      <c r="BG82">
        <f t="shared" si="8"/>
        <v>1.6428228967705018E-3</v>
      </c>
    </row>
    <row r="83" spans="1:59" x14ac:dyDescent="0.25">
      <c r="A83" t="s">
        <v>133</v>
      </c>
      <c r="B83" t="s">
        <v>81</v>
      </c>
      <c r="C83">
        <v>-9.0621372317013071E-3</v>
      </c>
      <c r="D83">
        <v>1.1132340595772449E-3</v>
      </c>
      <c r="E83">
        <v>3.0108692606949431E-4</v>
      </c>
      <c r="F83">
        <v>-2.6464589005408593E-3</v>
      </c>
      <c r="G83">
        <v>3.8517139578548073E-3</v>
      </c>
      <c r="H83">
        <f>RESULTADOS_R!$T$4+(RESULTADOS_R!$T$5*C82)+(RESULTADOS_R!$T$6*C81)+(RESULTADOS_R!$T$7*C80)+(RESULTADOS_R!$T$8*C79)</f>
        <v>3.3658172224939088E-3</v>
      </c>
      <c r="I83">
        <f t="shared" si="11"/>
        <v>-1.2427954454195216E-2</v>
      </c>
      <c r="J83" s="3"/>
      <c r="K83" t="s">
        <v>133</v>
      </c>
      <c r="L83" t="s">
        <v>81</v>
      </c>
      <c r="M83">
        <v>3.535442851039067E-4</v>
      </c>
      <c r="N83">
        <v>4.1262637267935583E-4</v>
      </c>
      <c r="O83">
        <v>1.768920078906333E-4</v>
      </c>
      <c r="P83">
        <v>2.3590469559767746E-4</v>
      </c>
      <c r="Q83">
        <v>3.5396142190107101E-4</v>
      </c>
      <c r="R83">
        <v>0</v>
      </c>
      <c r="S83">
        <f>RESULTADOS_R!$T$9+(RESULTADOS_R!$T$10*M82)+(RESULTADOS_R!$T$11*M81)+(RESULTADOS_R!$T$12*M80)+(RESULTADOS_R!$T$13*M79)+(RESULTADOS_R!$T$14*M78)</f>
        <v>-8.2524393444609247E-5</v>
      </c>
      <c r="T83">
        <f t="shared" si="13"/>
        <v>4.3606867854851595E-4</v>
      </c>
      <c r="U83" s="3"/>
      <c r="V83" t="s">
        <v>133</v>
      </c>
      <c r="W83" t="s">
        <v>81</v>
      </c>
      <c r="X83">
        <v>4.6188461397645326E-3</v>
      </c>
      <c r="Y83">
        <v>-3.2115322613233049E-2</v>
      </c>
      <c r="Z83">
        <v>-7.461973125666173E-3</v>
      </c>
      <c r="AA83">
        <f>RESULTADOS_R!$T$15+(RESULTADOS_R!$T$16*'EV1-ER-AR'!X82)+(RESULTADOS_R!$T$17*'EV1-ER-AR'!X81)</f>
        <v>-4.2538906087039715E-3</v>
      </c>
      <c r="AB83">
        <f t="shared" si="9"/>
        <v>8.872736748468505E-3</v>
      </c>
      <c r="AC83" s="3"/>
      <c r="AD83" t="s">
        <v>133</v>
      </c>
      <c r="AE83" t="s">
        <v>81</v>
      </c>
      <c r="AF83">
        <v>7.5234392357698945E-4</v>
      </c>
      <c r="AG83">
        <f>RESULTADOS_R!$T$18</f>
        <v>4.3639999999999998E-3</v>
      </c>
      <c r="AH83">
        <f t="shared" si="7"/>
        <v>-3.6116560764230103E-3</v>
      </c>
      <c r="AI83" s="3"/>
      <c r="AJ83" t="s">
        <v>133</v>
      </c>
      <c r="AK83" t="s">
        <v>81</v>
      </c>
      <c r="AL83">
        <v>4.6713848278007826E-3</v>
      </c>
      <c r="AM83">
        <v>2.8313024960671652E-3</v>
      </c>
      <c r="AN83">
        <v>5.7107475893758647E-4</v>
      </c>
      <c r="AO83">
        <v>9.0540455612494509E-4</v>
      </c>
      <c r="AP83">
        <v>2.4570669079789242E-3</v>
      </c>
      <c r="AQ83">
        <f>RESULTADOS_R!$T$19+(RESULTADOS_R!$T$20*AL82)+(RESULTADOS_R!$T$21*AL81)+(RESULTADOS_R!$T$22*AL80)+(RESULTADOS_R!$T$23*AL79)</f>
        <v>1.0607402631164842E-3</v>
      </c>
      <c r="AR83">
        <f t="shared" si="12"/>
        <v>3.6106445646842981E-3</v>
      </c>
      <c r="AS83" s="3"/>
      <c r="AT83" t="s">
        <v>133</v>
      </c>
      <c r="AU83" t="s">
        <v>81</v>
      </c>
      <c r="AV83">
        <v>1.6617791653279416E-2</v>
      </c>
      <c r="AW83">
        <v>-1.9100056365567292E-3</v>
      </c>
      <c r="AX83">
        <v>2.5793704119013538E-3</v>
      </c>
      <c r="AY83">
        <f>RESULTADOS_R!$T$24+(RESULTADOS_R!$T$25*AV82)+(RESULTADOS_R!$T$26*AV81)</f>
        <v>6.6539764505968121E-4</v>
      </c>
      <c r="AZ83">
        <f t="shared" si="10"/>
        <v>1.5952394008219736E-2</v>
      </c>
      <c r="BA83" s="3"/>
      <c r="BB83" t="s">
        <v>133</v>
      </c>
      <c r="BC83" t="s">
        <v>81</v>
      </c>
      <c r="BD83">
        <v>1.636443964141272E-3</v>
      </c>
      <c r="BE83">
        <v>1.7006458355568279E-3</v>
      </c>
      <c r="BF83">
        <f>RESULTADOS_R!$T$27+(RESULTADOS_R!$T$28*BD82)</f>
        <v>3.9016110409117631E-4</v>
      </c>
      <c r="BG83">
        <f t="shared" si="8"/>
        <v>1.2462828600500958E-3</v>
      </c>
    </row>
    <row r="84" spans="1:59" x14ac:dyDescent="0.25">
      <c r="A84" t="s">
        <v>133</v>
      </c>
      <c r="B84" t="s">
        <v>82</v>
      </c>
      <c r="C84">
        <v>-1.587407742237237E-2</v>
      </c>
      <c r="D84">
        <v>-9.0621372317013071E-3</v>
      </c>
      <c r="E84">
        <v>1.1132340595772449E-3</v>
      </c>
      <c r="F84">
        <v>3.0108692606949431E-4</v>
      </c>
      <c r="G84">
        <v>-2.6464589005408593E-3</v>
      </c>
      <c r="H84">
        <f>RESULTADOS_R!$T$4+(RESULTADOS_R!$T$5*C83)+(RESULTADOS_R!$T$6*C82)+(RESULTADOS_R!$T$7*C81)+(RESULTADOS_R!$T$8*C80)</f>
        <v>2.2949355542490921E-3</v>
      </c>
      <c r="I84">
        <f t="shared" si="11"/>
        <v>-1.8169012976621463E-2</v>
      </c>
      <c r="J84" s="3"/>
      <c r="K84" t="s">
        <v>133</v>
      </c>
      <c r="L84" t="s">
        <v>82</v>
      </c>
      <c r="M84">
        <v>1.0598835120430306E-3</v>
      </c>
      <c r="N84">
        <v>3.535442851039067E-4</v>
      </c>
      <c r="O84">
        <v>4.1262637267935583E-4</v>
      </c>
      <c r="P84">
        <v>1.768920078906333E-4</v>
      </c>
      <c r="Q84">
        <v>2.3590469559767746E-4</v>
      </c>
      <c r="R84">
        <v>3.5396142190107101E-4</v>
      </c>
      <c r="S84">
        <f>RESULTADOS_R!$T$9+(RESULTADOS_R!$T$10*M83)+(RESULTADOS_R!$T$11*M82)+(RESULTADOS_R!$T$12*M81)+(RESULTADOS_R!$T$13*M80)+(RESULTADOS_R!$T$14*M79)</f>
        <v>-9.6311967052771052E-5</v>
      </c>
      <c r="T84">
        <f t="shared" si="13"/>
        <v>1.1561954790958017E-3</v>
      </c>
      <c r="U84" s="3"/>
      <c r="V84" t="s">
        <v>133</v>
      </c>
      <c r="W84" t="s">
        <v>82</v>
      </c>
      <c r="X84">
        <v>5.352797331884853E-2</v>
      </c>
      <c r="Y84">
        <v>4.6188461397645326E-3</v>
      </c>
      <c r="Z84">
        <v>-3.2115322613233049E-2</v>
      </c>
      <c r="AA84">
        <f>RESULTADOS_R!$T$15+(RESULTADOS_R!$T$16*'EV1-ER-AR'!X83)+(RESULTADOS_R!$T$17*'EV1-ER-AR'!X82)</f>
        <v>9.9377708506232822E-3</v>
      </c>
      <c r="AB84">
        <f t="shared" si="9"/>
        <v>4.3590202468225245E-2</v>
      </c>
      <c r="AC84" s="3"/>
      <c r="AD84" t="s">
        <v>133</v>
      </c>
      <c r="AE84" t="s">
        <v>82</v>
      </c>
      <c r="AF84">
        <v>4.7195168497983955E-2</v>
      </c>
      <c r="AG84">
        <f>RESULTADOS_R!$T$18</f>
        <v>4.3639999999999998E-3</v>
      </c>
      <c r="AH84">
        <f t="shared" si="7"/>
        <v>4.2831168497983955E-2</v>
      </c>
      <c r="AI84" s="3"/>
      <c r="AJ84" t="s">
        <v>133</v>
      </c>
      <c r="AK84" t="s">
        <v>82</v>
      </c>
      <c r="AL84">
        <v>7.1687168639729629E-3</v>
      </c>
      <c r="AM84">
        <v>4.6713848278007826E-3</v>
      </c>
      <c r="AN84">
        <v>2.8313024960671652E-3</v>
      </c>
      <c r="AO84">
        <v>5.7107475893758647E-4</v>
      </c>
      <c r="AP84">
        <v>9.0540455612494509E-4</v>
      </c>
      <c r="AQ84">
        <f>RESULTADOS_R!$T$19+(RESULTADOS_R!$T$20*AL83)+(RESULTADOS_R!$T$21*AL82)+(RESULTADOS_R!$T$22*AL81)+(RESULTADOS_R!$T$23*AL80)</f>
        <v>1.2202644364494558E-3</v>
      </c>
      <c r="AR84">
        <f t="shared" si="12"/>
        <v>5.948452427523507E-3</v>
      </c>
      <c r="AS84" s="3"/>
      <c r="AT84" t="s">
        <v>133</v>
      </c>
      <c r="AU84" t="s">
        <v>82</v>
      </c>
      <c r="AV84">
        <v>9.9541555916653058E-5</v>
      </c>
      <c r="AW84">
        <v>1.6617791653279416E-2</v>
      </c>
      <c r="AX84">
        <v>-1.9100056365567292E-3</v>
      </c>
      <c r="AY84">
        <f>RESULTADOS_R!$T$24+(RESULTADOS_R!$T$25*AV83)+(RESULTADOS_R!$T$26*AV82)</f>
        <v>1.8886126439154885E-4</v>
      </c>
      <c r="AZ84">
        <f t="shared" si="10"/>
        <v>-8.9319708474895791E-5</v>
      </c>
      <c r="BA84" s="3"/>
      <c r="BB84" t="s">
        <v>133</v>
      </c>
      <c r="BC84" t="s">
        <v>82</v>
      </c>
      <c r="BD84">
        <v>1.0520457129144991E-3</v>
      </c>
      <c r="BE84">
        <v>1.636443964141272E-3</v>
      </c>
      <c r="BF84">
        <f>RESULTADOS_R!$T$27+(RESULTADOS_R!$T$28*BD83)</f>
        <v>3.7791029681310975E-4</v>
      </c>
      <c r="BG84">
        <f t="shared" si="8"/>
        <v>6.7413541610138932E-4</v>
      </c>
    </row>
    <row r="85" spans="1:59" x14ac:dyDescent="0.25">
      <c r="A85" t="s">
        <v>133</v>
      </c>
      <c r="B85" t="s">
        <v>83</v>
      </c>
      <c r="C85">
        <v>1.0000390100128683E-2</v>
      </c>
      <c r="D85">
        <v>-1.587407742237237E-2</v>
      </c>
      <c r="E85">
        <v>-9.0621372317013071E-3</v>
      </c>
      <c r="F85">
        <v>1.1132340595772449E-3</v>
      </c>
      <c r="G85">
        <v>3.0108692606949431E-4</v>
      </c>
      <c r="H85">
        <f>RESULTADOS_R!$T$4+(RESULTADOS_R!$T$5*C84)+(RESULTADOS_R!$T$6*C83)+(RESULTADOS_R!$T$7*C82)+(RESULTADOS_R!$T$8*C81)</f>
        <v>5.0537252340627633E-3</v>
      </c>
      <c r="I85">
        <f t="shared" si="11"/>
        <v>4.9466648660659194E-3</v>
      </c>
      <c r="J85" s="3"/>
      <c r="K85" t="s">
        <v>133</v>
      </c>
      <c r="L85" t="s">
        <v>83</v>
      </c>
      <c r="M85">
        <v>-4.709206585733057E-4</v>
      </c>
      <c r="N85">
        <v>1.0598835120430306E-3</v>
      </c>
      <c r="O85">
        <v>3.535442851039067E-4</v>
      </c>
      <c r="P85">
        <v>4.1262637267935583E-4</v>
      </c>
      <c r="Q85">
        <v>1.768920078906333E-4</v>
      </c>
      <c r="R85">
        <v>2.3590469559767746E-4</v>
      </c>
      <c r="S85">
        <f>RESULTADOS_R!$T$9+(RESULTADOS_R!$T$10*M84)+(RESULTADOS_R!$T$11*M83)+(RESULTADOS_R!$T$12*M82)+(RESULTADOS_R!$T$13*M81)+(RESULTADOS_R!$T$14*M80)</f>
        <v>-2.1945445639897303E-4</v>
      </c>
      <c r="T85">
        <f t="shared" si="13"/>
        <v>-2.5146620217433266E-4</v>
      </c>
      <c r="U85" s="3"/>
      <c r="V85" t="s">
        <v>133</v>
      </c>
      <c r="W85" t="s">
        <v>83</v>
      </c>
      <c r="X85">
        <v>4.914072504424849E-2</v>
      </c>
      <c r="Y85">
        <v>5.352797331884853E-2</v>
      </c>
      <c r="Z85">
        <v>4.6188461397645326E-3</v>
      </c>
      <c r="AA85">
        <f>RESULTADOS_R!$T$15+(RESULTADOS_R!$T$16*'EV1-ER-AR'!X84)+(RESULTADOS_R!$T$17*'EV1-ER-AR'!X83)</f>
        <v>1.3216250605022933E-2</v>
      </c>
      <c r="AB85">
        <f t="shared" si="9"/>
        <v>3.5924474439225557E-2</v>
      </c>
      <c r="AC85" s="3"/>
      <c r="AD85" t="s">
        <v>133</v>
      </c>
      <c r="AE85" t="s">
        <v>83</v>
      </c>
      <c r="AF85">
        <v>3.1326553217945662E-2</v>
      </c>
      <c r="AG85">
        <f>RESULTADOS_R!$T$18</f>
        <v>4.3639999999999998E-3</v>
      </c>
      <c r="AH85">
        <f t="shared" si="7"/>
        <v>2.6962553217945662E-2</v>
      </c>
      <c r="AI85" s="3"/>
      <c r="AJ85" t="s">
        <v>133</v>
      </c>
      <c r="AK85" t="s">
        <v>83</v>
      </c>
      <c r="AL85">
        <v>-9.9804207524337319E-3</v>
      </c>
      <c r="AM85">
        <v>7.1687168639729629E-3</v>
      </c>
      <c r="AN85">
        <v>4.6713848278007826E-3</v>
      </c>
      <c r="AO85">
        <v>2.8313024960671652E-3</v>
      </c>
      <c r="AP85">
        <v>5.7107475893758647E-4</v>
      </c>
      <c r="AQ85">
        <f>RESULTADOS_R!$T$19+(RESULTADOS_R!$T$20*AL84)+(RESULTADOS_R!$T$21*AL83)+(RESULTADOS_R!$T$22*AL82)+(RESULTADOS_R!$T$23*AL81)</f>
        <v>1.0308243337086589E-3</v>
      </c>
      <c r="AR85">
        <f t="shared" si="12"/>
        <v>-1.1011245086142391E-2</v>
      </c>
      <c r="AS85" s="3"/>
      <c r="AT85" t="s">
        <v>133</v>
      </c>
      <c r="AU85" t="s">
        <v>83</v>
      </c>
      <c r="AV85">
        <v>-3.6582715510867024E-2</v>
      </c>
      <c r="AW85">
        <v>9.9541555916653058E-5</v>
      </c>
      <c r="AX85">
        <v>1.6617791653279416E-2</v>
      </c>
      <c r="AY85">
        <f>RESULTADOS_R!$T$24+(RESULTADOS_R!$T$25*AV84)+(RESULTADOS_R!$T$26*AV83)</f>
        <v>-8.4480113310852686E-4</v>
      </c>
      <c r="AZ85">
        <f t="shared" si="10"/>
        <v>-3.5737914377758501E-2</v>
      </c>
      <c r="BA85" s="3"/>
      <c r="BB85" t="s">
        <v>133</v>
      </c>
      <c r="BC85" t="s">
        <v>83</v>
      </c>
      <c r="BD85">
        <v>6.3273701683382337E-4</v>
      </c>
      <c r="BE85">
        <v>1.0520457129144991E-3</v>
      </c>
      <c r="BF85">
        <f>RESULTADOS_R!$T$27+(RESULTADOS_R!$T$28*BD84)</f>
        <v>2.6639718681233744E-4</v>
      </c>
      <c r="BG85">
        <f t="shared" si="8"/>
        <v>3.6633983002148593E-4</v>
      </c>
    </row>
    <row r="86" spans="1:59" x14ac:dyDescent="0.25">
      <c r="A86" t="s">
        <v>133</v>
      </c>
      <c r="B86" t="s">
        <v>84</v>
      </c>
      <c r="C86">
        <v>-8.5501409874741332E-4</v>
      </c>
      <c r="D86">
        <v>1.0000390100128683E-2</v>
      </c>
      <c r="E86">
        <v>-1.587407742237237E-2</v>
      </c>
      <c r="F86">
        <v>-9.0621372317013071E-3</v>
      </c>
      <c r="G86">
        <v>1.1132340595772449E-3</v>
      </c>
      <c r="H86">
        <f>RESULTADOS_R!$T$4+(RESULTADOS_R!$T$5*C85)+(RESULTADOS_R!$T$6*C84)+(RESULTADOS_R!$T$7*C83)+(RESULTADOS_R!$T$8*C82)</f>
        <v>6.2326115273929131E-3</v>
      </c>
      <c r="I86">
        <f t="shared" si="11"/>
        <v>-7.0876256261403264E-3</v>
      </c>
      <c r="J86" s="3"/>
      <c r="K86" t="s">
        <v>133</v>
      </c>
      <c r="L86" t="s">
        <v>84</v>
      </c>
      <c r="M86">
        <v>9.4161965526105102E-4</v>
      </c>
      <c r="N86">
        <v>-4.709206585733057E-4</v>
      </c>
      <c r="O86">
        <v>1.0598835120430306E-3</v>
      </c>
      <c r="P86">
        <v>3.535442851039067E-4</v>
      </c>
      <c r="Q86">
        <v>4.1262637267935583E-4</v>
      </c>
      <c r="R86">
        <v>1.768920078906333E-4</v>
      </c>
      <c r="S86">
        <f>RESULTADOS_R!$T$9+(RESULTADOS_R!$T$10*M85)+(RESULTADOS_R!$T$11*M84)+(RESULTADOS_R!$T$12*M83)+(RESULTADOS_R!$T$13*M82)+(RESULTADOS_R!$T$14*M81)</f>
        <v>2.1959303760600336E-5</v>
      </c>
      <c r="T86">
        <f t="shared" si="13"/>
        <v>9.1966035150045069E-4</v>
      </c>
      <c r="U86" s="3"/>
      <c r="V86" t="s">
        <v>133</v>
      </c>
      <c r="W86" t="s">
        <v>84</v>
      </c>
      <c r="X86">
        <v>-4.4937498560553837E-3</v>
      </c>
      <c r="Y86">
        <v>4.914072504424849E-2</v>
      </c>
      <c r="Z86">
        <v>5.352797331884853E-2</v>
      </c>
      <c r="AA86">
        <f>RESULTADOS_R!$T$15+(RESULTADOS_R!$T$16*'EV1-ER-AR'!X85)+(RESULTADOS_R!$T$17*'EV1-ER-AR'!X84)</f>
        <v>1.2016299680178266E-3</v>
      </c>
      <c r="AB86">
        <f t="shared" si="9"/>
        <v>-5.6953798240732103E-3</v>
      </c>
      <c r="AC86" s="3"/>
      <c r="AD86" t="s">
        <v>133</v>
      </c>
      <c r="AE86" t="s">
        <v>84</v>
      </c>
      <c r="AF86">
        <v>-7.5123006454544689E-3</v>
      </c>
      <c r="AG86">
        <f>RESULTADOS_R!$T$18</f>
        <v>4.3639999999999998E-3</v>
      </c>
      <c r="AH86">
        <f t="shared" si="7"/>
        <v>-1.1876300645454469E-2</v>
      </c>
      <c r="AI86" s="3"/>
      <c r="AJ86" t="s">
        <v>133</v>
      </c>
      <c r="AK86" t="s">
        <v>84</v>
      </c>
      <c r="AL86">
        <v>6.9225564040086016E-3</v>
      </c>
      <c r="AM86">
        <v>-9.9804207524337319E-3</v>
      </c>
      <c r="AN86">
        <v>7.1687168639729629E-3</v>
      </c>
      <c r="AO86">
        <v>4.6713848278007826E-3</v>
      </c>
      <c r="AP86">
        <v>2.8313024960671652E-3</v>
      </c>
      <c r="AQ86">
        <f>RESULTADOS_R!$T$19+(RESULTADOS_R!$T$20*AL85)+(RESULTADOS_R!$T$21*AL84)+(RESULTADOS_R!$T$22*AL83)+(RESULTADOS_R!$T$23*AL82)</f>
        <v>-2.8143703762895052E-4</v>
      </c>
      <c r="AR86">
        <f t="shared" si="12"/>
        <v>7.2039934416375517E-3</v>
      </c>
      <c r="AS86" s="3"/>
      <c r="AT86" t="s">
        <v>133</v>
      </c>
      <c r="AU86" t="s">
        <v>84</v>
      </c>
      <c r="AV86">
        <v>6.0558938218364475E-3</v>
      </c>
      <c r="AW86">
        <v>-3.6582715510867024E-2</v>
      </c>
      <c r="AX86">
        <v>9.9541555916653058E-5</v>
      </c>
      <c r="AY86">
        <f>RESULTADOS_R!$T$24+(RESULTADOS_R!$T$25*AV85)+(RESULTADOS_R!$T$26*AV84)</f>
        <v>2.6497807592374672E-3</v>
      </c>
      <c r="AZ86">
        <f t="shared" si="10"/>
        <v>3.4061130625989804E-3</v>
      </c>
      <c r="BA86" s="3"/>
      <c r="BB86" t="s">
        <v>133</v>
      </c>
      <c r="BC86" t="s">
        <v>84</v>
      </c>
      <c r="BD86">
        <v>-2.7549755542628557E-4</v>
      </c>
      <c r="BE86">
        <v>6.3273701683382337E-4</v>
      </c>
      <c r="BF86">
        <f>RESULTADOS_R!$T$27+(RESULTADOS_R!$T$28*BD85)</f>
        <v>1.8638596731917635E-4</v>
      </c>
      <c r="BG86">
        <f t="shared" si="8"/>
        <v>-4.6188352274546189E-4</v>
      </c>
    </row>
    <row r="87" spans="1:59" x14ac:dyDescent="0.25">
      <c r="A87" t="s">
        <v>133</v>
      </c>
      <c r="B87" t="s">
        <v>85</v>
      </c>
      <c r="C87">
        <v>3.14163531794209E-3</v>
      </c>
      <c r="D87">
        <v>-8.5501409874741332E-4</v>
      </c>
      <c r="E87">
        <v>1.0000390100128683E-2</v>
      </c>
      <c r="F87">
        <v>-1.587407742237237E-2</v>
      </c>
      <c r="G87">
        <v>-9.0621372317013071E-3</v>
      </c>
      <c r="H87">
        <f>RESULTADOS_R!$T$4+(RESULTADOS_R!$T$5*C86)+(RESULTADOS_R!$T$6*C85)+(RESULTADOS_R!$T$7*C84)+(RESULTADOS_R!$T$8*C83)</f>
        <v>2.9543144435402787E-3</v>
      </c>
      <c r="I87">
        <f t="shared" si="11"/>
        <v>1.8732087440181131E-4</v>
      </c>
      <c r="J87" s="3"/>
      <c r="K87" t="s">
        <v>133</v>
      </c>
      <c r="L87" t="s">
        <v>85</v>
      </c>
      <c r="M87">
        <v>1.176401389510605E-4</v>
      </c>
      <c r="N87">
        <v>9.4161965526105102E-4</v>
      </c>
      <c r="O87">
        <v>-4.709206585733057E-4</v>
      </c>
      <c r="P87">
        <v>1.0598835120430306E-3</v>
      </c>
      <c r="Q87">
        <v>3.535442851039067E-4</v>
      </c>
      <c r="R87">
        <v>4.1262637267935583E-4</v>
      </c>
      <c r="S87">
        <f>RESULTADOS_R!$T$9+(RESULTADOS_R!$T$10*M86)+(RESULTADOS_R!$T$11*M85)+(RESULTADOS_R!$T$12*M84)+(RESULTADOS_R!$T$13*M83)+(RESULTADOS_R!$T$14*M82)</f>
        <v>-3.5265961350260333E-4</v>
      </c>
      <c r="T87">
        <f t="shared" si="13"/>
        <v>4.7029975245366381E-4</v>
      </c>
      <c r="U87" s="3"/>
      <c r="V87" t="s">
        <v>133</v>
      </c>
      <c r="W87" t="s">
        <v>85</v>
      </c>
      <c r="X87">
        <v>2.0437122816991695E-2</v>
      </c>
      <c r="Y87">
        <v>-4.4937498560553837E-3</v>
      </c>
      <c r="Z87">
        <v>4.914072504424849E-2</v>
      </c>
      <c r="AA87">
        <f>RESULTADOS_R!$T$15+(RESULTADOS_R!$T$16*'EV1-ER-AR'!X86)+(RESULTADOS_R!$T$17*'EV1-ER-AR'!X85)</f>
        <v>-1.0452715211687804E-2</v>
      </c>
      <c r="AB87">
        <f t="shared" si="9"/>
        <v>3.0889838028679499E-2</v>
      </c>
      <c r="AC87" s="3"/>
      <c r="AD87" t="s">
        <v>133</v>
      </c>
      <c r="AE87" t="s">
        <v>85</v>
      </c>
      <c r="AF87">
        <v>5.3607745666778138E-2</v>
      </c>
      <c r="AG87">
        <f>RESULTADOS_R!$T$18</f>
        <v>4.3639999999999998E-3</v>
      </c>
      <c r="AH87">
        <f t="shared" si="7"/>
        <v>4.9243745666778138E-2</v>
      </c>
      <c r="AI87" s="3"/>
      <c r="AJ87" t="s">
        <v>133</v>
      </c>
      <c r="AK87" t="s">
        <v>85</v>
      </c>
      <c r="AL87">
        <v>-1.8404874235214829E-3</v>
      </c>
      <c r="AM87">
        <v>6.9225564040086016E-3</v>
      </c>
      <c r="AN87">
        <v>-9.9804207524337319E-3</v>
      </c>
      <c r="AO87">
        <v>7.1687168639729629E-3</v>
      </c>
      <c r="AP87">
        <v>4.6713848278007826E-3</v>
      </c>
      <c r="AQ87">
        <f>RESULTADOS_R!$T$19+(RESULTADOS_R!$T$20*AL86)+(RESULTADOS_R!$T$21*AL85)+(RESULTADOS_R!$T$22*AL84)+(RESULTADOS_R!$T$23*AL83)</f>
        <v>-9.6575716965639042E-5</v>
      </c>
      <c r="AR87">
        <f t="shared" si="12"/>
        <v>-1.7439117065558439E-3</v>
      </c>
      <c r="AS87" s="3"/>
      <c r="AT87" t="s">
        <v>133</v>
      </c>
      <c r="AU87" t="s">
        <v>85</v>
      </c>
      <c r="AV87">
        <v>1.6106668004385542E-2</v>
      </c>
      <c r="AW87">
        <v>6.0558938218364475E-3</v>
      </c>
      <c r="AX87">
        <v>-3.6582715510867024E-2</v>
      </c>
      <c r="AY87">
        <f>RESULTADOS_R!$T$24+(RESULTADOS_R!$T$25*AV86)+(RESULTADOS_R!$T$26*AV85)</f>
        <v>4.1990296942399146E-3</v>
      </c>
      <c r="AZ87">
        <f t="shared" si="10"/>
        <v>1.1907638310145626E-2</v>
      </c>
      <c r="BA87" s="3"/>
      <c r="BB87" t="s">
        <v>133</v>
      </c>
      <c r="BC87" t="s">
        <v>85</v>
      </c>
      <c r="BD87">
        <v>-1.2662236576260362E-3</v>
      </c>
      <c r="BE87">
        <v>-2.7549755542628557E-4</v>
      </c>
      <c r="BF87">
        <f>RESULTADOS_R!$T$27+(RESULTADOS_R!$T$28*BD86)</f>
        <v>1.3079388200676013E-5</v>
      </c>
      <c r="BG87">
        <f t="shared" si="8"/>
        <v>-1.2793030458267123E-3</v>
      </c>
    </row>
    <row r="88" spans="1:59" x14ac:dyDescent="0.25">
      <c r="A88" t="s">
        <v>133</v>
      </c>
      <c r="B88" t="s">
        <v>86</v>
      </c>
      <c r="C88">
        <v>-1.7882858417429252E-2</v>
      </c>
      <c r="D88">
        <v>3.14163531794209E-3</v>
      </c>
      <c r="E88">
        <v>-8.5501409874741332E-4</v>
      </c>
      <c r="F88">
        <v>1.0000390100128683E-2</v>
      </c>
      <c r="G88">
        <v>-1.587407742237237E-2</v>
      </c>
      <c r="H88">
        <f>RESULTADOS_R!$T$4+(RESULTADOS_R!$T$5*C87)+(RESULTADOS_R!$T$6*C86)+(RESULTADOS_R!$T$7*C85)+(RESULTADOS_R!$T$8*C84)</f>
        <v>-3.7739711195867607E-3</v>
      </c>
      <c r="I88">
        <f t="shared" si="11"/>
        <v>-1.4108887297842491E-2</v>
      </c>
      <c r="J88" s="3"/>
      <c r="K88" t="s">
        <v>133</v>
      </c>
      <c r="L88" t="s">
        <v>86</v>
      </c>
      <c r="M88">
        <v>1.2931289640668198E-3</v>
      </c>
      <c r="N88">
        <v>1.176401389510605E-4</v>
      </c>
      <c r="O88">
        <v>9.4161965526105102E-4</v>
      </c>
      <c r="P88">
        <v>-4.709206585733057E-4</v>
      </c>
      <c r="Q88">
        <v>1.0598835120430306E-3</v>
      </c>
      <c r="R88">
        <v>3.535442851039067E-4</v>
      </c>
      <c r="S88">
        <f>RESULTADOS_R!$T$9+(RESULTADOS_R!$T$10*M87)+(RESULTADOS_R!$T$11*M86)+(RESULTADOS_R!$T$12*M85)+(RESULTADOS_R!$T$13*M84)+(RESULTADOS_R!$T$14*M83)</f>
        <v>9.3192944546175688E-5</v>
      </c>
      <c r="T88">
        <f t="shared" si="13"/>
        <v>1.1999360195206442E-3</v>
      </c>
      <c r="U88" s="3"/>
      <c r="V88" t="s">
        <v>133</v>
      </c>
      <c r="W88" t="s">
        <v>86</v>
      </c>
      <c r="X88">
        <v>-1.6805086658398017E-2</v>
      </c>
      <c r="Y88">
        <v>2.0437122816991695E-2</v>
      </c>
      <c r="Z88">
        <v>-4.4937498560553837E-3</v>
      </c>
      <c r="AA88">
        <f>RESULTADOS_R!$T$15+(RESULTADOS_R!$T$16*'EV1-ER-AR'!X87)+(RESULTADOS_R!$T$17*'EV1-ER-AR'!X86)</f>
        <v>7.4640563131163741E-3</v>
      </c>
      <c r="AB88">
        <f t="shared" si="9"/>
        <v>-2.426914297151439E-2</v>
      </c>
      <c r="AC88" s="3"/>
      <c r="AD88" t="s">
        <v>133</v>
      </c>
      <c r="AE88" t="s">
        <v>86</v>
      </c>
      <c r="AF88">
        <v>-2.4835005900639955E-2</v>
      </c>
      <c r="AG88">
        <f>RESULTADOS_R!$T$18</f>
        <v>4.3639999999999998E-3</v>
      </c>
      <c r="AH88">
        <f t="shared" si="7"/>
        <v>-2.9199005900639955E-2</v>
      </c>
      <c r="AI88" s="3"/>
      <c r="AJ88" t="s">
        <v>133</v>
      </c>
      <c r="AK88" t="s">
        <v>86</v>
      </c>
      <c r="AL88">
        <v>1.0099882973775894E-2</v>
      </c>
      <c r="AM88">
        <v>-1.8404874235214829E-3</v>
      </c>
      <c r="AN88">
        <v>6.9225564040086016E-3</v>
      </c>
      <c r="AO88">
        <v>-9.9804207524337319E-3</v>
      </c>
      <c r="AP88">
        <v>7.1687168639729629E-3</v>
      </c>
      <c r="AQ88">
        <f>RESULTADOS_R!$T$19+(RESULTADOS_R!$T$20*AL87)+(RESULTADOS_R!$T$21*AL86)+(RESULTADOS_R!$T$22*AL85)+(RESULTADOS_R!$T$23*AL84)</f>
        <v>3.5104859914298482E-3</v>
      </c>
      <c r="AR88">
        <f t="shared" si="12"/>
        <v>6.5893969823460456E-3</v>
      </c>
      <c r="AS88" s="3"/>
      <c r="AT88" t="s">
        <v>133</v>
      </c>
      <c r="AU88" t="s">
        <v>86</v>
      </c>
      <c r="AV88">
        <v>1.1512780481687161E-2</v>
      </c>
      <c r="AW88">
        <v>1.6106668004385542E-2</v>
      </c>
      <c r="AX88">
        <v>6.0558938218364475E-3</v>
      </c>
      <c r="AY88">
        <f>RESULTADOS_R!$T$24+(RESULTADOS_R!$T$25*AV87)+(RESULTADOS_R!$T$26*AV86)</f>
        <v>-5.854255537006103E-4</v>
      </c>
      <c r="AZ88">
        <f t="shared" si="10"/>
        <v>1.2098206035387771E-2</v>
      </c>
      <c r="BA88" s="3"/>
      <c r="BB88" t="s">
        <v>133</v>
      </c>
      <c r="BC88" t="s">
        <v>86</v>
      </c>
      <c r="BD88">
        <v>-4.8858780878929626E-3</v>
      </c>
      <c r="BE88">
        <v>-1.2662236576260362E-3</v>
      </c>
      <c r="BF88">
        <f>RESULTADOS_R!$T$27+(RESULTADOS_R!$T$28*BD87)</f>
        <v>-1.7596797561897788E-4</v>
      </c>
      <c r="BG88">
        <f t="shared" si="8"/>
        <v>-4.7099101122739847E-3</v>
      </c>
    </row>
    <row r="89" spans="1:59" x14ac:dyDescent="0.25">
      <c r="A89" t="s">
        <v>133</v>
      </c>
      <c r="B89" t="s">
        <v>87</v>
      </c>
      <c r="C89">
        <v>7.2285005219912902E-3</v>
      </c>
      <c r="D89">
        <v>-1.7882858417429252E-2</v>
      </c>
      <c r="E89">
        <v>3.14163531794209E-3</v>
      </c>
      <c r="F89">
        <v>-8.5501409874741332E-4</v>
      </c>
      <c r="G89">
        <v>1.0000390100128683E-2</v>
      </c>
      <c r="H89">
        <f>RESULTADOS_R!$T$4+(RESULTADOS_R!$T$5*C88)+(RESULTADOS_R!$T$6*C87)+(RESULTADOS_R!$T$7*C86)+(RESULTADOS_R!$T$8*C85)</f>
        <v>5.6432100885174096E-3</v>
      </c>
      <c r="I89">
        <f t="shared" si="11"/>
        <v>1.5852904334738805E-3</v>
      </c>
      <c r="J89" s="3"/>
      <c r="K89" t="s">
        <v>133</v>
      </c>
      <c r="L89" t="s">
        <v>87</v>
      </c>
      <c r="M89">
        <v>-1.8814680997057312E-3</v>
      </c>
      <c r="N89">
        <v>1.2931289640668198E-3</v>
      </c>
      <c r="O89">
        <v>1.176401389510605E-4</v>
      </c>
      <c r="P89">
        <v>9.4161965526105102E-4</v>
      </c>
      <c r="Q89">
        <v>-4.709206585733057E-4</v>
      </c>
      <c r="R89">
        <v>1.0598835120430306E-3</v>
      </c>
      <c r="S89">
        <f>RESULTADOS_R!$T$9+(RESULTADOS_R!$T$10*M88)+(RESULTADOS_R!$T$11*M87)+(RESULTADOS_R!$T$12*M86)+(RESULTADOS_R!$T$13*M85)+(RESULTADOS_R!$T$14*M84)</f>
        <v>-4.5241961936726496E-4</v>
      </c>
      <c r="T89">
        <f t="shared" si="13"/>
        <v>-1.4290484803384661E-3</v>
      </c>
      <c r="U89" s="3"/>
      <c r="V89" t="s">
        <v>133</v>
      </c>
      <c r="W89" t="s">
        <v>87</v>
      </c>
      <c r="X89">
        <v>-6.1154580020010294E-3</v>
      </c>
      <c r="Y89">
        <v>-1.6805086658398017E-2</v>
      </c>
      <c r="Z89">
        <v>2.0437122816991695E-2</v>
      </c>
      <c r="AA89">
        <f>RESULTADOS_R!$T$15+(RESULTADOS_R!$T$16*'EV1-ER-AR'!X88)+(RESULTADOS_R!$T$17*'EV1-ER-AR'!X87)</f>
        <v>-6.9096360616693582E-3</v>
      </c>
      <c r="AB89">
        <f t="shared" si="9"/>
        <v>7.9417805966832886E-4</v>
      </c>
      <c r="AC89" s="3"/>
      <c r="AD89" t="s">
        <v>133</v>
      </c>
      <c r="AE89" t="s">
        <v>87</v>
      </c>
      <c r="AF89">
        <v>5.2467308717374213E-2</v>
      </c>
      <c r="AG89">
        <f>RESULTADOS_R!$T$18</f>
        <v>4.3639999999999998E-3</v>
      </c>
      <c r="AH89">
        <f t="shared" si="7"/>
        <v>4.8103308717374213E-2</v>
      </c>
      <c r="AI89" s="3"/>
      <c r="AJ89" t="s">
        <v>133</v>
      </c>
      <c r="AK89" t="s">
        <v>87</v>
      </c>
      <c r="AL89">
        <v>-8.6843108114222807E-3</v>
      </c>
      <c r="AM89">
        <v>1.0099882973775894E-2</v>
      </c>
      <c r="AN89">
        <v>-1.8404874235214829E-3</v>
      </c>
      <c r="AO89">
        <v>6.9225564040086016E-3</v>
      </c>
      <c r="AP89">
        <v>-9.9804207524337319E-3</v>
      </c>
      <c r="AQ89">
        <f>RESULTADOS_R!$T$19+(RESULTADOS_R!$T$20*AL88)+(RESULTADOS_R!$T$21*AL87)+(RESULTADOS_R!$T$22*AL86)+(RESULTADOS_R!$T$23*AL85)</f>
        <v>-8.1252216860131497E-4</v>
      </c>
      <c r="AR89">
        <f t="shared" si="12"/>
        <v>-7.871788642820966E-3</v>
      </c>
      <c r="AS89" s="3"/>
      <c r="AT89" t="s">
        <v>133</v>
      </c>
      <c r="AU89" t="s">
        <v>87</v>
      </c>
      <c r="AV89">
        <v>-2.0999485509042529E-2</v>
      </c>
      <c r="AW89">
        <v>1.1512780481687161E-2</v>
      </c>
      <c r="AX89">
        <v>1.6106668004385542E-2</v>
      </c>
      <c r="AY89">
        <f>RESULTADOS_R!$T$24+(RESULTADOS_R!$T$25*AV88)+(RESULTADOS_R!$T$26*AV87)</f>
        <v>-1.3647144219317464E-3</v>
      </c>
      <c r="AZ89">
        <f t="shared" si="10"/>
        <v>-1.9634771087110783E-2</v>
      </c>
      <c r="BA89" s="3"/>
      <c r="BB89" t="s">
        <v>133</v>
      </c>
      <c r="BC89" t="s">
        <v>87</v>
      </c>
      <c r="BD89">
        <v>4.2010410676636967E-3</v>
      </c>
      <c r="BE89">
        <v>-4.8858780878929626E-3</v>
      </c>
      <c r="BF89">
        <f>RESULTADOS_R!$T$27+(RESULTADOS_R!$T$28*BD88)</f>
        <v>-8.6665950626578774E-4</v>
      </c>
      <c r="BG89">
        <f t="shared" si="8"/>
        <v>5.0677005739294843E-3</v>
      </c>
    </row>
    <row r="90" spans="1:59" x14ac:dyDescent="0.25">
      <c r="A90" t="s">
        <v>133</v>
      </c>
      <c r="B90" t="s">
        <v>88</v>
      </c>
      <c r="C90">
        <v>1.4878453641906979E-2</v>
      </c>
      <c r="D90">
        <v>7.2285005219912902E-3</v>
      </c>
      <c r="E90">
        <v>-1.7882858417429252E-2</v>
      </c>
      <c r="F90">
        <v>3.14163531794209E-3</v>
      </c>
      <c r="G90">
        <v>-8.5501409874741332E-4</v>
      </c>
      <c r="H90">
        <f>RESULTADOS_R!$T$4+(RESULTADOS_R!$T$5*C89)+(RESULTADOS_R!$T$6*C88)+(RESULTADOS_R!$T$7*C87)+(RESULTADOS_R!$T$8*C86)</f>
        <v>3.2842021143767112E-3</v>
      </c>
      <c r="I90">
        <f t="shared" si="11"/>
        <v>1.1594251527530268E-2</v>
      </c>
      <c r="J90" s="3"/>
      <c r="K90" t="s">
        <v>133</v>
      </c>
      <c r="L90" t="s">
        <v>88</v>
      </c>
      <c r="M90">
        <v>-1.059883512043024E-3</v>
      </c>
      <c r="N90">
        <v>-1.8814680997057312E-3</v>
      </c>
      <c r="O90">
        <v>1.2931289640668198E-3</v>
      </c>
      <c r="P90">
        <v>1.176401389510605E-4</v>
      </c>
      <c r="Q90">
        <v>9.4161965526105102E-4</v>
      </c>
      <c r="R90">
        <v>-4.709206585733057E-4</v>
      </c>
      <c r="S90">
        <f>RESULTADOS_R!$T$9+(RESULTADOS_R!$T$10*M89)+(RESULTADOS_R!$T$11*M88)+(RESULTADOS_R!$T$12*M87)+(RESULTADOS_R!$T$13*M86)+(RESULTADOS_R!$T$14*M85)</f>
        <v>3.321983697577127E-4</v>
      </c>
      <c r="T90">
        <f t="shared" si="13"/>
        <v>-1.3920818818007367E-3</v>
      </c>
      <c r="U90" s="3"/>
      <c r="V90" t="s">
        <v>133</v>
      </c>
      <c r="W90" t="s">
        <v>88</v>
      </c>
      <c r="X90">
        <v>-1.2185402850224254E-2</v>
      </c>
      <c r="Y90">
        <v>-6.1154580020010294E-3</v>
      </c>
      <c r="Z90">
        <v>-1.6805086658398017E-2</v>
      </c>
      <c r="AA90">
        <f>RESULTADOS_R!$T$15+(RESULTADOS_R!$T$16*'EV1-ER-AR'!X89)+(RESULTADOS_R!$T$17*'EV1-ER-AR'!X88)</f>
        <v>3.9708099345593575E-3</v>
      </c>
      <c r="AB90">
        <f t="shared" si="9"/>
        <v>-1.6156212784783609E-2</v>
      </c>
      <c r="AC90" s="3"/>
      <c r="AD90" t="s">
        <v>133</v>
      </c>
      <c r="AE90" t="s">
        <v>88</v>
      </c>
      <c r="AF90">
        <v>-3.2415509869641351E-3</v>
      </c>
      <c r="AG90">
        <f>RESULTADOS_R!$T$18</f>
        <v>4.3639999999999998E-3</v>
      </c>
      <c r="AH90">
        <f t="shared" si="7"/>
        <v>-7.6055509869641345E-3</v>
      </c>
      <c r="AI90" s="3"/>
      <c r="AJ90" t="s">
        <v>133</v>
      </c>
      <c r="AK90" t="s">
        <v>88</v>
      </c>
      <c r="AL90">
        <v>-1.5276743247770322E-2</v>
      </c>
      <c r="AM90">
        <v>-8.6843108114222807E-3</v>
      </c>
      <c r="AN90">
        <v>1.0099882973775894E-2</v>
      </c>
      <c r="AO90">
        <v>-1.8404874235214829E-3</v>
      </c>
      <c r="AP90">
        <v>6.9225564040086016E-3</v>
      </c>
      <c r="AQ90">
        <f>RESULTADOS_R!$T$19+(RESULTADOS_R!$T$20*AL89)+(RESULTADOS_R!$T$21*AL88)+(RESULTADOS_R!$T$22*AL87)+(RESULTADOS_R!$T$23*AL86)</f>
        <v>1.5709151961371189E-3</v>
      </c>
      <c r="AR90">
        <f t="shared" si="12"/>
        <v>-1.684765844390744E-2</v>
      </c>
      <c r="AS90" s="3"/>
      <c r="AT90" t="s">
        <v>133</v>
      </c>
      <c r="AU90" t="s">
        <v>88</v>
      </c>
      <c r="AV90">
        <v>-4.4558421034757208E-3</v>
      </c>
      <c r="AW90">
        <v>-2.0999485509042529E-2</v>
      </c>
      <c r="AX90">
        <v>1.1512780481687161E-2</v>
      </c>
      <c r="AY90">
        <f>RESULTADOS_R!$T$24+(RESULTADOS_R!$T$25*AV89)+(RESULTADOS_R!$T$26*AV88)</f>
        <v>7.238138409582527E-4</v>
      </c>
      <c r="AZ90">
        <f t="shared" si="10"/>
        <v>-5.1796559444339738E-3</v>
      </c>
      <c r="BA90" s="3"/>
      <c r="BB90" t="s">
        <v>133</v>
      </c>
      <c r="BC90" t="s">
        <v>88</v>
      </c>
      <c r="BD90">
        <v>1.6448632393561572E-3</v>
      </c>
      <c r="BE90">
        <v>4.2010410676636967E-3</v>
      </c>
      <c r="BF90">
        <f>RESULTADOS_R!$T$27+(RESULTADOS_R!$T$28*BD89)</f>
        <v>8.6727897358860326E-4</v>
      </c>
      <c r="BG90">
        <f t="shared" si="8"/>
        <v>7.7758426576755391E-4</v>
      </c>
    </row>
    <row r="91" spans="1:59" x14ac:dyDescent="0.25">
      <c r="A91" t="s">
        <v>133</v>
      </c>
      <c r="B91" t="s">
        <v>89</v>
      </c>
      <c r="C91">
        <v>1.1187789144845039E-2</v>
      </c>
      <c r="D91">
        <v>1.4878453641906979E-2</v>
      </c>
      <c r="E91">
        <v>7.2285005219912902E-3</v>
      </c>
      <c r="F91">
        <v>-1.7882858417429252E-2</v>
      </c>
      <c r="G91">
        <v>3.14163531794209E-3</v>
      </c>
      <c r="H91">
        <f>RESULTADOS_R!$T$4+(RESULTADOS_R!$T$5*C90)+(RESULTADOS_R!$T$6*C89)+(RESULTADOS_R!$T$7*C88)+(RESULTADOS_R!$T$8*C87)</f>
        <v>4.6078231095895246E-3</v>
      </c>
      <c r="I91">
        <f t="shared" si="11"/>
        <v>6.5799660352555142E-3</v>
      </c>
      <c r="J91" s="3"/>
      <c r="K91" t="s">
        <v>133</v>
      </c>
      <c r="L91" t="s">
        <v>89</v>
      </c>
      <c r="M91">
        <v>-7.0721360797691994E-4</v>
      </c>
      <c r="N91">
        <v>-1.059883512043024E-3</v>
      </c>
      <c r="O91">
        <v>-1.8814680997057312E-3</v>
      </c>
      <c r="P91">
        <v>1.2931289640668198E-3</v>
      </c>
      <c r="Q91">
        <v>1.176401389510605E-4</v>
      </c>
      <c r="R91">
        <v>9.4161965526105102E-4</v>
      </c>
      <c r="S91">
        <f>RESULTADOS_R!$T$9+(RESULTADOS_R!$T$10*M90)+(RESULTADOS_R!$T$11*M89)+(RESULTADOS_R!$T$12*M88)+(RESULTADOS_R!$T$13*M87)+(RESULTADOS_R!$T$14*M86)</f>
        <v>-2.4286278768529139E-4</v>
      </c>
      <c r="T91">
        <f t="shared" si="13"/>
        <v>-4.6435082029162855E-4</v>
      </c>
      <c r="U91" s="3"/>
      <c r="V91" t="s">
        <v>133</v>
      </c>
      <c r="W91" t="s">
        <v>89</v>
      </c>
      <c r="X91">
        <v>4.6028387663942939E-2</v>
      </c>
      <c r="Y91">
        <v>-1.2185402850224254E-2</v>
      </c>
      <c r="Z91">
        <v>-6.1154580020010294E-3</v>
      </c>
      <c r="AA91">
        <f>RESULTADOS_R!$T$15+(RESULTADOS_R!$T$16*'EV1-ER-AR'!X90)+(RESULTADOS_R!$T$17*'EV1-ER-AR'!X89)</f>
        <v>1.4042434292796E-4</v>
      </c>
      <c r="AB91">
        <f t="shared" si="9"/>
        <v>4.5887963321014982E-2</v>
      </c>
      <c r="AC91" s="3"/>
      <c r="AD91" t="s">
        <v>133</v>
      </c>
      <c r="AE91" t="s">
        <v>89</v>
      </c>
      <c r="AF91">
        <v>7.6175932510840969E-2</v>
      </c>
      <c r="AG91">
        <f>RESULTADOS_R!$T$18</f>
        <v>4.3639999999999998E-3</v>
      </c>
      <c r="AH91">
        <f t="shared" si="7"/>
        <v>7.1811932510840976E-2</v>
      </c>
      <c r="AI91" s="3"/>
      <c r="AJ91" t="s">
        <v>133</v>
      </c>
      <c r="AK91" t="s">
        <v>89</v>
      </c>
      <c r="AL91">
        <v>2.6694556336131717E-3</v>
      </c>
      <c r="AM91">
        <v>-1.5276743247770322E-2</v>
      </c>
      <c r="AN91">
        <v>-8.6843108114222807E-3</v>
      </c>
      <c r="AO91">
        <v>1.0099882973775894E-2</v>
      </c>
      <c r="AP91">
        <v>-1.8404874235214829E-3</v>
      </c>
      <c r="AQ91">
        <f>RESULTADOS_R!$T$19+(RESULTADOS_R!$T$20*AL90)+(RESULTADOS_R!$T$21*AL89)+(RESULTADOS_R!$T$22*AL88)+(RESULTADOS_R!$T$23*AL87)</f>
        <v>-2.8723381767614626E-3</v>
      </c>
      <c r="AR91">
        <f t="shared" si="12"/>
        <v>5.5417938103746343E-3</v>
      </c>
      <c r="AS91" s="3"/>
      <c r="AT91" t="s">
        <v>133</v>
      </c>
      <c r="AU91" t="s">
        <v>89</v>
      </c>
      <c r="AV91">
        <v>9.3822772834464016E-4</v>
      </c>
      <c r="AW91">
        <v>-4.4558421034757208E-3</v>
      </c>
      <c r="AX91">
        <v>-2.0999485509042529E-2</v>
      </c>
      <c r="AY91">
        <f>RESULTADOS_R!$T$24+(RESULTADOS_R!$T$25*AV90)+(RESULTADOS_R!$T$26*AV89)</f>
        <v>3.1604081731713661E-3</v>
      </c>
      <c r="AZ91">
        <f t="shared" si="10"/>
        <v>-2.222180444826726E-3</v>
      </c>
      <c r="BA91" s="3"/>
      <c r="BB91" t="s">
        <v>133</v>
      </c>
      <c r="BC91" t="s">
        <v>89</v>
      </c>
      <c r="BD91">
        <v>3.4647597612288482E-3</v>
      </c>
      <c r="BE91">
        <v>1.6448632393561572E-3</v>
      </c>
      <c r="BF91">
        <f>RESULTADOS_R!$T$27+(RESULTADOS_R!$T$28*BD90)</f>
        <v>3.7951683749182225E-4</v>
      </c>
      <c r="BG91">
        <f t="shared" si="8"/>
        <v>3.0852429237370259E-3</v>
      </c>
    </row>
    <row r="92" spans="1:59" x14ac:dyDescent="0.25">
      <c r="A92" t="s">
        <v>133</v>
      </c>
      <c r="B92" t="s">
        <v>90</v>
      </c>
      <c r="C92">
        <v>3.323107616140763E-3</v>
      </c>
      <c r="D92">
        <v>1.1187789144845039E-2</v>
      </c>
      <c r="E92">
        <v>1.4878453641906979E-2</v>
      </c>
      <c r="F92">
        <v>7.2285005219912902E-3</v>
      </c>
      <c r="G92">
        <v>-1.7882858417429252E-2</v>
      </c>
      <c r="H92">
        <f>RESULTADOS_R!$T$4+(RESULTADOS_R!$T$5*C91)+(RESULTADOS_R!$T$6*C90)+(RESULTADOS_R!$T$7*C89)+(RESULTADOS_R!$T$8*C88)</f>
        <v>-6.8857925927561913E-3</v>
      </c>
      <c r="I92">
        <f t="shared" si="11"/>
        <v>1.0208900208896955E-2</v>
      </c>
      <c r="J92" s="3"/>
      <c r="K92" t="s">
        <v>133</v>
      </c>
      <c r="L92" t="s">
        <v>90</v>
      </c>
      <c r="M92">
        <v>2.3579344603475124E-4</v>
      </c>
      <c r="N92">
        <v>-7.0721360797691994E-4</v>
      </c>
      <c r="O92">
        <v>-1.059883512043024E-3</v>
      </c>
      <c r="P92">
        <v>-1.8814680997057312E-3</v>
      </c>
      <c r="Q92">
        <v>1.2931289640668198E-3</v>
      </c>
      <c r="R92">
        <v>1.176401389510605E-4</v>
      </c>
      <c r="S92">
        <f>RESULTADOS_R!$T$9+(RESULTADOS_R!$T$10*M91)+(RESULTADOS_R!$T$11*M90)+(RESULTADOS_R!$T$12*M89)+(RESULTADOS_R!$T$13*M88)+(RESULTADOS_R!$T$14*M87)</f>
        <v>4.1137035237759606E-4</v>
      </c>
      <c r="T92">
        <f t="shared" si="13"/>
        <v>-1.7557690634284481E-4</v>
      </c>
      <c r="U92" s="3"/>
      <c r="V92" t="s">
        <v>133</v>
      </c>
      <c r="W92" t="s">
        <v>90</v>
      </c>
      <c r="X92">
        <v>1.2033085241528243E-2</v>
      </c>
      <c r="Y92">
        <v>4.6028387663942939E-2</v>
      </c>
      <c r="Z92">
        <v>-1.2185402850224254E-2</v>
      </c>
      <c r="AA92">
        <f>RESULTADOS_R!$T$15+(RESULTADOS_R!$T$16*'EV1-ER-AR'!X91)+(RESULTADOS_R!$T$17*'EV1-ER-AR'!X90)</f>
        <v>1.5221693101834199E-2</v>
      </c>
      <c r="AB92">
        <f t="shared" si="9"/>
        <v>-3.1886078603059562E-3</v>
      </c>
      <c r="AC92" s="3"/>
      <c r="AD92" t="s">
        <v>133</v>
      </c>
      <c r="AE92" t="s">
        <v>90</v>
      </c>
      <c r="AF92">
        <v>3.8936421823623751E-2</v>
      </c>
      <c r="AG92">
        <f>RESULTADOS_R!$T$18</f>
        <v>4.3639999999999998E-3</v>
      </c>
      <c r="AH92">
        <f t="shared" si="7"/>
        <v>3.4572421823623752E-2</v>
      </c>
      <c r="AI92" s="3"/>
      <c r="AJ92" t="s">
        <v>133</v>
      </c>
      <c r="AK92" t="s">
        <v>90</v>
      </c>
      <c r="AL92">
        <v>6.4990384183768379E-3</v>
      </c>
      <c r="AM92">
        <v>2.6694556336131717E-3</v>
      </c>
      <c r="AN92">
        <v>-1.5276743247770322E-2</v>
      </c>
      <c r="AO92">
        <v>-8.6843108114222807E-3</v>
      </c>
      <c r="AP92">
        <v>1.0099882973775894E-2</v>
      </c>
      <c r="AQ92">
        <f>RESULTADOS_R!$T$19+(RESULTADOS_R!$T$20*AL91)+(RESULTADOS_R!$T$21*AL90)+(RESULTADOS_R!$T$22*AL89)+(RESULTADOS_R!$T$23*AL88)</f>
        <v>2.8645664600485642E-3</v>
      </c>
      <c r="AR92">
        <f t="shared" si="12"/>
        <v>3.6344719583282737E-3</v>
      </c>
      <c r="AS92" s="3"/>
      <c r="AT92" t="s">
        <v>133</v>
      </c>
      <c r="AU92" t="s">
        <v>90</v>
      </c>
      <c r="AV92">
        <v>1.2038911246141957E-2</v>
      </c>
      <c r="AW92">
        <v>9.3822772834464016E-4</v>
      </c>
      <c r="AX92">
        <v>-4.4558421034757208E-3</v>
      </c>
      <c r="AY92">
        <f>RESULTADOS_R!$T$24+(RESULTADOS_R!$T$25*AV91)+(RESULTADOS_R!$T$26*AV90)</f>
        <v>1.2292596556853948E-3</v>
      </c>
      <c r="AZ92">
        <f t="shared" si="10"/>
        <v>1.0809651590456562E-2</v>
      </c>
      <c r="BA92" s="3"/>
      <c r="BB92" t="s">
        <v>133</v>
      </c>
      <c r="BC92" t="s">
        <v>90</v>
      </c>
      <c r="BD92">
        <v>1.9817381750574545E-3</v>
      </c>
      <c r="BE92">
        <v>3.4647597612288482E-3</v>
      </c>
      <c r="BF92">
        <f>RESULTADOS_R!$T$27+(RESULTADOS_R!$T$28*BD91)</f>
        <v>7.2678399752796967E-4</v>
      </c>
      <c r="BG92">
        <f t="shared" si="8"/>
        <v>1.2549541775294848E-3</v>
      </c>
    </row>
    <row r="93" spans="1:59" x14ac:dyDescent="0.25">
      <c r="A93" t="s">
        <v>133</v>
      </c>
      <c r="B93" t="s">
        <v>91</v>
      </c>
      <c r="C93">
        <v>-5.4244532500858809E-3</v>
      </c>
      <c r="D93">
        <v>3.323107616140763E-3</v>
      </c>
      <c r="E93">
        <v>1.1187789144845039E-2</v>
      </c>
      <c r="F93">
        <v>1.4878453641906979E-2</v>
      </c>
      <c r="G93">
        <v>7.2285005219912902E-3</v>
      </c>
      <c r="H93">
        <f>RESULTADOS_R!$T$4+(RESULTADOS_R!$T$5*C92)+(RESULTADOS_R!$T$6*C91)+(RESULTADOS_R!$T$7*C90)+(RESULTADOS_R!$T$8*C89)</f>
        <v>-2.6019840333590203E-3</v>
      </c>
      <c r="I93">
        <f t="shared" si="11"/>
        <v>-2.8224692167268606E-3</v>
      </c>
      <c r="J93" s="3"/>
      <c r="K93" t="s">
        <v>133</v>
      </c>
      <c r="L93" t="s">
        <v>91</v>
      </c>
      <c r="M93">
        <v>5.8924048608429878E-4</v>
      </c>
      <c r="N93">
        <v>2.3579344603475124E-4</v>
      </c>
      <c r="O93">
        <v>-7.0721360797691994E-4</v>
      </c>
      <c r="P93">
        <v>-1.059883512043024E-3</v>
      </c>
      <c r="Q93">
        <v>-1.8814680997057312E-3</v>
      </c>
      <c r="R93">
        <v>1.2931289640668198E-3</v>
      </c>
      <c r="S93">
        <f>RESULTADOS_R!$T$9+(RESULTADOS_R!$T$10*M92)+(RESULTADOS_R!$T$11*M91)+(RESULTADOS_R!$T$12*M90)+(RESULTADOS_R!$T$13*M89)+(RESULTADOS_R!$T$14*M88)</f>
        <v>-7.307561423712289E-5</v>
      </c>
      <c r="T93">
        <f t="shared" si="13"/>
        <v>6.6231610032142167E-4</v>
      </c>
      <c r="U93" s="3"/>
      <c r="V93" t="s">
        <v>133</v>
      </c>
      <c r="W93" t="s">
        <v>91</v>
      </c>
      <c r="X93">
        <v>6.7748288857437172E-3</v>
      </c>
      <c r="Y93">
        <v>1.2033085241528243E-2</v>
      </c>
      <c r="Z93">
        <v>4.6028387663942939E-2</v>
      </c>
      <c r="AA93">
        <f>RESULTADOS_R!$T$15+(RESULTADOS_R!$T$16*'EV1-ER-AR'!X92)+(RESULTADOS_R!$T$17*'EV1-ER-AR'!X91)</f>
        <v>-5.8592906308319991E-3</v>
      </c>
      <c r="AB93">
        <f t="shared" si="9"/>
        <v>1.2634119516575715E-2</v>
      </c>
      <c r="AC93" s="3"/>
      <c r="AD93" t="s">
        <v>133</v>
      </c>
      <c r="AE93" t="s">
        <v>91</v>
      </c>
      <c r="AF93">
        <v>4.7758184367471104E-2</v>
      </c>
      <c r="AG93">
        <f>RESULTADOS_R!$T$18</f>
        <v>4.3639999999999998E-3</v>
      </c>
      <c r="AH93">
        <f t="shared" si="7"/>
        <v>4.3394184367471104E-2</v>
      </c>
      <c r="AI93" s="3"/>
      <c r="AJ93" t="s">
        <v>133</v>
      </c>
      <c r="AK93" t="s">
        <v>91</v>
      </c>
      <c r="AL93">
        <v>2.1930812005543036E-3</v>
      </c>
      <c r="AM93">
        <v>6.4990384183768379E-3</v>
      </c>
      <c r="AN93">
        <v>2.6694556336131717E-3</v>
      </c>
      <c r="AO93">
        <v>-1.5276743247770322E-2</v>
      </c>
      <c r="AP93">
        <v>-8.6843108114222807E-3</v>
      </c>
      <c r="AQ93">
        <f>RESULTADOS_R!$T$19+(RESULTADOS_R!$T$20*AL92)+(RESULTADOS_R!$T$21*AL91)+(RESULTADOS_R!$T$22*AL90)+(RESULTADOS_R!$T$23*AL89)</f>
        <v>3.4643022946398154E-3</v>
      </c>
      <c r="AR93">
        <f t="shared" si="12"/>
        <v>-1.2712210940855118E-3</v>
      </c>
      <c r="AS93" s="3"/>
      <c r="AT93" t="s">
        <v>133</v>
      </c>
      <c r="AU93" t="s">
        <v>91</v>
      </c>
      <c r="AV93">
        <v>-7.5646054781763781E-3</v>
      </c>
      <c r="AW93">
        <v>1.2038911246141957E-2</v>
      </c>
      <c r="AX93">
        <v>9.3822772834464016E-4</v>
      </c>
      <c r="AY93">
        <f>RESULTADOS_R!$T$24+(RESULTADOS_R!$T$25*AV92)+(RESULTADOS_R!$T$26*AV91)</f>
        <v>1.3203993308977052E-4</v>
      </c>
      <c r="AZ93">
        <f t="shared" si="10"/>
        <v>-7.696645411266149E-3</v>
      </c>
      <c r="BA93" s="3"/>
      <c r="BB93" t="s">
        <v>133</v>
      </c>
      <c r="BC93" t="s">
        <v>91</v>
      </c>
      <c r="BD93">
        <v>1.9068876860479356E-3</v>
      </c>
      <c r="BE93">
        <v>1.9817381750574545E-3</v>
      </c>
      <c r="BF93">
        <f>RESULTADOS_R!$T$27+(RESULTADOS_R!$T$28*BD92)</f>
        <v>4.4379829569691294E-4</v>
      </c>
      <c r="BG93">
        <f t="shared" si="8"/>
        <v>1.4630893903510227E-3</v>
      </c>
    </row>
    <row r="94" spans="1:59" x14ac:dyDescent="0.25">
      <c r="A94" t="s">
        <v>133</v>
      </c>
      <c r="B94" t="s">
        <v>92</v>
      </c>
      <c r="C94">
        <v>7.3056404454466999E-3</v>
      </c>
      <c r="D94">
        <v>-5.4244532500858809E-3</v>
      </c>
      <c r="E94">
        <v>3.323107616140763E-3</v>
      </c>
      <c r="F94">
        <v>1.1187789144845039E-2</v>
      </c>
      <c r="G94">
        <v>1.4878453641906979E-2</v>
      </c>
      <c r="H94">
        <f>RESULTADOS_R!$T$4+(RESULTADOS_R!$T$5*C93)+(RESULTADOS_R!$T$6*C92)+(RESULTADOS_R!$T$7*C91)+(RESULTADOS_R!$T$8*C90)</f>
        <v>2.0685148903704991E-3</v>
      </c>
      <c r="I94">
        <f t="shared" si="11"/>
        <v>5.2371255550762007E-3</v>
      </c>
      <c r="J94" s="3"/>
      <c r="K94" t="s">
        <v>133</v>
      </c>
      <c r="L94" t="s">
        <v>92</v>
      </c>
      <c r="M94">
        <v>4.7114252932772675E-4</v>
      </c>
      <c r="N94">
        <v>5.8924048608429878E-4</v>
      </c>
      <c r="O94">
        <v>2.3579344603475124E-4</v>
      </c>
      <c r="P94">
        <v>-7.0721360797691994E-4</v>
      </c>
      <c r="Q94">
        <v>-1.059883512043024E-3</v>
      </c>
      <c r="R94">
        <v>-1.8814680997057312E-3</v>
      </c>
      <c r="S94">
        <f>RESULTADOS_R!$T$9+(RESULTADOS_R!$T$10*M93)+(RESULTADOS_R!$T$11*M92)+(RESULTADOS_R!$T$12*M91)+(RESULTADOS_R!$T$13*M90)+(RESULTADOS_R!$T$14*M89)</f>
        <v>1.8996961401486506E-4</v>
      </c>
      <c r="T94">
        <f t="shared" si="13"/>
        <v>2.8117291531286169E-4</v>
      </c>
      <c r="U94" s="3"/>
      <c r="V94" t="s">
        <v>133</v>
      </c>
      <c r="W94" t="s">
        <v>92</v>
      </c>
      <c r="X94">
        <v>6.1740484108758729E-3</v>
      </c>
      <c r="Y94">
        <v>6.7748288857437172E-3</v>
      </c>
      <c r="Z94">
        <v>1.2033085241528243E-2</v>
      </c>
      <c r="AA94">
        <f>RESULTADOS_R!$T$15+(RESULTADOS_R!$T$16*'EV1-ER-AR'!X93)+(RESULTADOS_R!$T$17*'EV1-ER-AR'!X92)</f>
        <v>5.339517838964772E-4</v>
      </c>
      <c r="AB94">
        <f t="shared" si="9"/>
        <v>5.6400966269793962E-3</v>
      </c>
      <c r="AC94" s="3"/>
      <c r="AD94" t="s">
        <v>133</v>
      </c>
      <c r="AE94" t="s">
        <v>92</v>
      </c>
      <c r="AF94">
        <v>3.5703591677708215E-3</v>
      </c>
      <c r="AG94">
        <f>RESULTADOS_R!$T$18</f>
        <v>4.3639999999999998E-3</v>
      </c>
      <c r="AH94">
        <f t="shared" si="7"/>
        <v>-7.9364083222917834E-4</v>
      </c>
      <c r="AI94" s="3"/>
      <c r="AJ94" t="s">
        <v>133</v>
      </c>
      <c r="AK94" t="s">
        <v>92</v>
      </c>
      <c r="AL94">
        <v>1.279199815495429E-3</v>
      </c>
      <c r="AM94">
        <v>2.1930812005543036E-3</v>
      </c>
      <c r="AN94">
        <v>6.4990384183768379E-3</v>
      </c>
      <c r="AO94">
        <v>2.6694556336131717E-3</v>
      </c>
      <c r="AP94">
        <v>-1.5276743247770322E-2</v>
      </c>
      <c r="AQ94">
        <f>RESULTADOS_R!$T$19+(RESULTADOS_R!$T$20*AL93)+(RESULTADOS_R!$T$21*AL92)+(RESULTADOS_R!$T$22*AL91)+(RESULTADOS_R!$T$23*AL90)</f>
        <v>-7.1366610626527865E-4</v>
      </c>
      <c r="AR94">
        <f t="shared" si="12"/>
        <v>1.9928659217607076E-3</v>
      </c>
      <c r="AS94" s="3"/>
      <c r="AT94" t="s">
        <v>133</v>
      </c>
      <c r="AU94" t="s">
        <v>92</v>
      </c>
      <c r="AV94">
        <v>4.3191733694996773E-3</v>
      </c>
      <c r="AW94">
        <v>-7.5646054781763781E-3</v>
      </c>
      <c r="AX94">
        <v>1.2038911246141957E-2</v>
      </c>
      <c r="AY94">
        <f>RESULTADOS_R!$T$24+(RESULTADOS_R!$T$25*AV93)+(RESULTADOS_R!$T$26*AV92)</f>
        <v>-1.4355669187367161E-6</v>
      </c>
      <c r="AZ94">
        <f t="shared" si="10"/>
        <v>4.3206089364184143E-3</v>
      </c>
      <c r="BA94" s="3"/>
      <c r="BB94" t="s">
        <v>133</v>
      </c>
      <c r="BC94" t="s">
        <v>92</v>
      </c>
      <c r="BD94">
        <v>1.4986130510813525E-3</v>
      </c>
      <c r="BE94">
        <v>1.9068876860479356E-3</v>
      </c>
      <c r="BF94">
        <f>RESULTADOS_R!$T$27+(RESULTADOS_R!$T$28*BD93)</f>
        <v>4.2951555135774288E-4</v>
      </c>
      <c r="BG94">
        <f t="shared" si="8"/>
        <v>1.0690974997236095E-3</v>
      </c>
    </row>
    <row r="95" spans="1:59" x14ac:dyDescent="0.25">
      <c r="A95" t="s">
        <v>133</v>
      </c>
      <c r="B95" t="s">
        <v>93</v>
      </c>
      <c r="C95">
        <v>1.6989825097564111E-3</v>
      </c>
      <c r="D95">
        <v>7.3056404454466999E-3</v>
      </c>
      <c r="E95">
        <v>-5.4244532500858809E-3</v>
      </c>
      <c r="F95">
        <v>3.323107616140763E-3</v>
      </c>
      <c r="G95">
        <v>1.1187789144845039E-2</v>
      </c>
      <c r="H95">
        <f>RESULTADOS_R!$T$4+(RESULTADOS_R!$T$5*C94)+(RESULTADOS_R!$T$6*C93)+(RESULTADOS_R!$T$7*C92)+(RESULTADOS_R!$T$8*C91)</f>
        <v>3.4975358209593512E-3</v>
      </c>
      <c r="I95">
        <f t="shared" si="11"/>
        <v>-1.7985533112029402E-3</v>
      </c>
      <c r="J95" s="3"/>
      <c r="K95" t="s">
        <v>133</v>
      </c>
      <c r="L95" t="s">
        <v>93</v>
      </c>
      <c r="M95">
        <v>-4.711425293277339E-4</v>
      </c>
      <c r="N95">
        <v>4.7114252932772675E-4</v>
      </c>
      <c r="O95">
        <v>5.8924048608429878E-4</v>
      </c>
      <c r="P95">
        <v>2.3579344603475124E-4</v>
      </c>
      <c r="Q95">
        <v>-7.0721360797691994E-4</v>
      </c>
      <c r="R95">
        <v>-1.059883512043024E-3</v>
      </c>
      <c r="S95">
        <f>RESULTADOS_R!$T$9+(RESULTADOS_R!$T$10*M94)+(RESULTADOS_R!$T$11*M93)+(RESULTADOS_R!$T$12*M92)+(RESULTADOS_R!$T$13*M91)+(RESULTADOS_R!$T$14*M90)</f>
        <v>-1.3817172798974518E-5</v>
      </c>
      <c r="T95">
        <f t="shared" si="13"/>
        <v>-4.5732535652875939E-4</v>
      </c>
      <c r="U95" s="3"/>
      <c r="V95" t="s">
        <v>133</v>
      </c>
      <c r="W95" t="s">
        <v>93</v>
      </c>
      <c r="X95">
        <v>3.5052423370649059E-2</v>
      </c>
      <c r="Y95">
        <v>6.1740484108758729E-3</v>
      </c>
      <c r="Z95">
        <v>6.7748288857437172E-3</v>
      </c>
      <c r="AA95">
        <f>RESULTADOS_R!$T$15+(RESULTADOS_R!$T$16*'EV1-ER-AR'!X94)+(RESULTADOS_R!$T$17*'EV1-ER-AR'!X93)</f>
        <v>1.5729205687367968E-3</v>
      </c>
      <c r="AB95">
        <f t="shared" si="9"/>
        <v>3.347950280191226E-2</v>
      </c>
      <c r="AC95" s="3"/>
      <c r="AD95" t="s">
        <v>133</v>
      </c>
      <c r="AE95" t="s">
        <v>93</v>
      </c>
      <c r="AF95">
        <v>5.3688122344874266E-2</v>
      </c>
      <c r="AG95">
        <f>RESULTADOS_R!$T$18</f>
        <v>4.3639999999999998E-3</v>
      </c>
      <c r="AH95">
        <f t="shared" si="7"/>
        <v>4.9324122344874266E-2</v>
      </c>
      <c r="AI95" s="3"/>
      <c r="AJ95" t="s">
        <v>133</v>
      </c>
      <c r="AK95" t="s">
        <v>93</v>
      </c>
      <c r="AL95">
        <v>-2.9171809402243408E-3</v>
      </c>
      <c r="AM95">
        <v>1.279199815495429E-3</v>
      </c>
      <c r="AN95">
        <v>2.1930812005543036E-3</v>
      </c>
      <c r="AO95">
        <v>6.4990384183768379E-3</v>
      </c>
      <c r="AP95">
        <v>2.6694556336131717E-3</v>
      </c>
      <c r="AQ95">
        <f>RESULTADOS_R!$T$19+(RESULTADOS_R!$T$20*AL94)+(RESULTADOS_R!$T$21*AL93)+(RESULTADOS_R!$T$22*AL92)+(RESULTADOS_R!$T$23*AL91)</f>
        <v>-2.5285397793185327E-5</v>
      </c>
      <c r="AR95">
        <f t="shared" si="12"/>
        <v>-2.8918955424311553E-3</v>
      </c>
      <c r="AS95" s="3"/>
      <c r="AT95" t="s">
        <v>133</v>
      </c>
      <c r="AU95" t="s">
        <v>93</v>
      </c>
      <c r="AV95">
        <v>-6.6700829509207709E-3</v>
      </c>
      <c r="AW95">
        <v>4.3191733694996773E-3</v>
      </c>
      <c r="AX95">
        <v>-7.5646054781763781E-3</v>
      </c>
      <c r="AY95">
        <f>RESULTADOS_R!$T$24+(RESULTADOS_R!$T$25*AV94)+(RESULTADOS_R!$T$26*AV93)</f>
        <v>1.3721982165369856E-3</v>
      </c>
      <c r="AZ95">
        <f t="shared" si="10"/>
        <v>-8.0422811674577561E-3</v>
      </c>
      <c r="BA95" s="3"/>
      <c r="BB95" t="s">
        <v>133</v>
      </c>
      <c r="BC95" t="s">
        <v>93</v>
      </c>
      <c r="BD95">
        <v>-1.1237491881267384E-3</v>
      </c>
      <c r="BE95">
        <v>1.4986130510813525E-3</v>
      </c>
      <c r="BF95">
        <f>RESULTADOS_R!$T$27+(RESULTADOS_R!$T$28*BD94)</f>
        <v>3.5160981809454243E-4</v>
      </c>
      <c r="BG95">
        <f t="shared" si="8"/>
        <v>-1.4753590062212807E-3</v>
      </c>
    </row>
    <row r="96" spans="1:59" x14ac:dyDescent="0.25">
      <c r="A96" t="s">
        <v>133</v>
      </c>
      <c r="B96" t="s">
        <v>94</v>
      </c>
      <c r="C96">
        <v>6.4121813242516111E-3</v>
      </c>
      <c r="D96">
        <v>1.6989825097564111E-3</v>
      </c>
      <c r="E96">
        <v>7.3056404454466999E-3</v>
      </c>
      <c r="F96">
        <v>-5.4244532500858809E-3</v>
      </c>
      <c r="G96">
        <v>3.323107616140763E-3</v>
      </c>
      <c r="H96">
        <f>RESULTADOS_R!$T$4+(RESULTADOS_R!$T$5*C95)+(RESULTADOS_R!$T$6*C94)+(RESULTADOS_R!$T$7*C93)+(RESULTADOS_R!$T$8*C92)</f>
        <v>2.7753688832797001E-3</v>
      </c>
      <c r="I96">
        <f t="shared" si="11"/>
        <v>3.636812440971911E-3</v>
      </c>
      <c r="J96" s="3"/>
      <c r="K96" t="s">
        <v>133</v>
      </c>
      <c r="L96" t="s">
        <v>94</v>
      </c>
      <c r="M96">
        <v>-4.7136460924585032E-4</v>
      </c>
      <c r="N96">
        <v>-4.711425293277339E-4</v>
      </c>
      <c r="O96">
        <v>4.7114252932772675E-4</v>
      </c>
      <c r="P96">
        <v>5.8924048608429878E-4</v>
      </c>
      <c r="Q96">
        <v>2.3579344603475124E-4</v>
      </c>
      <c r="R96">
        <v>-7.0721360797691994E-4</v>
      </c>
      <c r="S96">
        <f>RESULTADOS_R!$T$9+(RESULTADOS_R!$T$10*M95)+(RESULTADOS_R!$T$11*M94)+(RESULTADOS_R!$T$12*M93)+(RESULTADOS_R!$T$13*M92)+(RESULTADOS_R!$T$14*M91)</f>
        <v>4.2212790656261771E-5</v>
      </c>
      <c r="T96">
        <f t="shared" si="13"/>
        <v>-5.1357739990211205E-4</v>
      </c>
      <c r="U96" s="3"/>
      <c r="V96" t="s">
        <v>133</v>
      </c>
      <c r="W96" t="s">
        <v>94</v>
      </c>
      <c r="X96">
        <v>1.1475395749792299E-2</v>
      </c>
      <c r="Y96">
        <v>3.5052423370649059E-2</v>
      </c>
      <c r="Z96">
        <v>6.1740484108758729E-3</v>
      </c>
      <c r="AA96">
        <f>RESULTADOS_R!$T$15+(RESULTADOS_R!$T$16*'EV1-ER-AR'!X95)+(RESULTADOS_R!$T$17*'EV1-ER-AR'!X94)</f>
        <v>8.5131948033860712E-3</v>
      </c>
      <c r="AB96">
        <f t="shared" si="9"/>
        <v>2.9622009464062276E-3</v>
      </c>
      <c r="AC96" s="3"/>
      <c r="AD96" t="s">
        <v>133</v>
      </c>
      <c r="AE96" t="s">
        <v>94</v>
      </c>
      <c r="AF96">
        <v>0.11806010859003811</v>
      </c>
      <c r="AG96">
        <f>RESULTADOS_R!$T$18</f>
        <v>4.3639999999999998E-3</v>
      </c>
      <c r="AH96">
        <f t="shared" si="7"/>
        <v>0.11369610859003812</v>
      </c>
      <c r="AI96" s="3"/>
      <c r="AJ96" t="s">
        <v>133</v>
      </c>
      <c r="AK96" t="s">
        <v>94</v>
      </c>
      <c r="AL96">
        <v>-1.3340356551013023E-3</v>
      </c>
      <c r="AM96">
        <v>-2.9171809402243408E-3</v>
      </c>
      <c r="AN96">
        <v>1.279199815495429E-3</v>
      </c>
      <c r="AO96">
        <v>2.1930812005543036E-3</v>
      </c>
      <c r="AP96">
        <v>6.4990384183768379E-3</v>
      </c>
      <c r="AQ96">
        <f>RESULTADOS_R!$T$19+(RESULTADOS_R!$T$20*AL95)+(RESULTADOS_R!$T$21*AL94)+(RESULTADOS_R!$T$22*AL93)+(RESULTADOS_R!$T$23*AL92)</f>
        <v>7.9517776931146554E-4</v>
      </c>
      <c r="AR96">
        <f t="shared" si="12"/>
        <v>-2.129213424412768E-3</v>
      </c>
      <c r="AS96" s="3"/>
      <c r="AT96" t="s">
        <v>133</v>
      </c>
      <c r="AU96" t="s">
        <v>94</v>
      </c>
      <c r="AV96">
        <v>-9.6138969815210678E-3</v>
      </c>
      <c r="AW96">
        <v>-6.6700829509207709E-3</v>
      </c>
      <c r="AX96">
        <v>4.3191733694996773E-3</v>
      </c>
      <c r="AY96">
        <f>RESULTADOS_R!$T$24+(RESULTADOS_R!$T$25*AV95)+(RESULTADOS_R!$T$26*AV94)</f>
        <v>7.2894454400961603E-4</v>
      </c>
      <c r="AZ96">
        <f t="shared" si="10"/>
        <v>-1.0342841525530683E-2</v>
      </c>
      <c r="BA96" s="3"/>
      <c r="BB96" t="s">
        <v>133</v>
      </c>
      <c r="BC96" t="s">
        <v>94</v>
      </c>
      <c r="BD96">
        <v>3.3169874170234873E-3</v>
      </c>
      <c r="BE96">
        <v>-1.1237491881267384E-3</v>
      </c>
      <c r="BF96">
        <f>RESULTADOS_R!$T$27+(RESULTADOS_R!$T$28*BD95)</f>
        <v>-1.4878142747954526E-4</v>
      </c>
      <c r="BG96">
        <f t="shared" si="8"/>
        <v>3.4657688445030328E-3</v>
      </c>
    </row>
    <row r="97" spans="1:59" x14ac:dyDescent="0.25">
      <c r="A97" t="s">
        <v>133</v>
      </c>
      <c r="B97" t="s">
        <v>95</v>
      </c>
      <c r="C97">
        <v>-1.6288336712432995E-3</v>
      </c>
      <c r="D97">
        <v>6.4121813242516111E-3</v>
      </c>
      <c r="E97">
        <v>1.6989825097564111E-3</v>
      </c>
      <c r="F97">
        <v>7.3056404454466999E-3</v>
      </c>
      <c r="G97">
        <v>-5.4244532500858809E-3</v>
      </c>
      <c r="H97">
        <f>RESULTADOS_R!$T$4+(RESULTADOS_R!$T$5*C96)+(RESULTADOS_R!$T$6*C95)+(RESULTADOS_R!$T$7*C94)+(RESULTADOS_R!$T$8*C93)</f>
        <v>-1.8244821628949194E-3</v>
      </c>
      <c r="I97">
        <f t="shared" si="11"/>
        <v>1.956484916516199E-4</v>
      </c>
      <c r="J97" s="3"/>
      <c r="K97" t="s">
        <v>133</v>
      </c>
      <c r="L97" t="s">
        <v>95</v>
      </c>
      <c r="M97">
        <v>2.3571007769701327E-4</v>
      </c>
      <c r="N97">
        <v>-4.7136460924585032E-4</v>
      </c>
      <c r="O97">
        <v>-4.711425293277339E-4</v>
      </c>
      <c r="P97">
        <v>4.7114252932772675E-4</v>
      </c>
      <c r="Q97">
        <v>5.8924048608429878E-4</v>
      </c>
      <c r="R97">
        <v>2.3579344603475124E-4</v>
      </c>
      <c r="S97">
        <f>RESULTADOS_R!$T$9+(RESULTADOS_R!$T$10*M96)+(RESULTADOS_R!$T$11*M95)+(RESULTADOS_R!$T$12*M94)+(RESULTADOS_R!$T$13*M93)+(RESULTADOS_R!$T$14*M92)</f>
        <v>-4.5159838156997297E-5</v>
      </c>
      <c r="T97">
        <f t="shared" si="13"/>
        <v>2.8086991585401057E-4</v>
      </c>
      <c r="U97" s="3"/>
      <c r="V97" t="s">
        <v>133</v>
      </c>
      <c r="W97" t="s">
        <v>95</v>
      </c>
      <c r="X97">
        <v>-1.0873787888380542E-2</v>
      </c>
      <c r="Y97">
        <v>1.1475395749792299E-2</v>
      </c>
      <c r="Z97">
        <v>3.5052423370649059E-2</v>
      </c>
      <c r="AA97">
        <f>RESULTADOS_R!$T$15+(RESULTADOS_R!$T$16*'EV1-ER-AR'!X96)+(RESULTADOS_R!$T$17*'EV1-ER-AR'!X95)</f>
        <v>-3.5264673920057284E-3</v>
      </c>
      <c r="AB97">
        <f t="shared" si="9"/>
        <v>-7.3473204963748137E-3</v>
      </c>
      <c r="AC97" s="3"/>
      <c r="AD97" t="s">
        <v>133</v>
      </c>
      <c r="AE97" t="s">
        <v>95</v>
      </c>
      <c r="AF97">
        <v>1.0096066146985286E-2</v>
      </c>
      <c r="AG97">
        <f>RESULTADOS_R!$T$18</f>
        <v>4.3639999999999998E-3</v>
      </c>
      <c r="AH97">
        <f t="shared" si="7"/>
        <v>5.732066146985286E-3</v>
      </c>
      <c r="AI97" s="3"/>
      <c r="AJ97" t="s">
        <v>133</v>
      </c>
      <c r="AK97" t="s">
        <v>95</v>
      </c>
      <c r="AL97">
        <v>6.8491238522010722E-3</v>
      </c>
      <c r="AM97">
        <v>-1.3340356551013023E-3</v>
      </c>
      <c r="AN97">
        <v>-2.9171809402243408E-3</v>
      </c>
      <c r="AO97">
        <v>1.279199815495429E-3</v>
      </c>
      <c r="AP97">
        <v>2.1930812005543036E-3</v>
      </c>
      <c r="AQ97">
        <f>RESULTADOS_R!$T$19+(RESULTADOS_R!$T$20*AL96)+(RESULTADOS_R!$T$21*AL95)+(RESULTADOS_R!$T$22*AL94)+(RESULTADOS_R!$T$23*AL93)</f>
        <v>4.9289173027265514E-4</v>
      </c>
      <c r="AR97">
        <f t="shared" si="12"/>
        <v>6.3562321219284169E-3</v>
      </c>
      <c r="AS97" s="3"/>
      <c r="AT97" t="s">
        <v>133</v>
      </c>
      <c r="AU97" t="s">
        <v>95</v>
      </c>
      <c r="AV97">
        <v>9.3529736517935346E-3</v>
      </c>
      <c r="AW97">
        <v>-9.6138969815210678E-3</v>
      </c>
      <c r="AX97">
        <v>-6.6700829509207709E-3</v>
      </c>
      <c r="AY97">
        <f>RESULTADOS_R!$T$24+(RESULTADOS_R!$T$25*AV96)+(RESULTADOS_R!$T$26*AV95)</f>
        <v>1.9797321293289001E-3</v>
      </c>
      <c r="AZ97">
        <f t="shared" si="10"/>
        <v>7.3732415224646349E-3</v>
      </c>
      <c r="BA97" s="3"/>
      <c r="BB97" t="s">
        <v>133</v>
      </c>
      <c r="BC97" t="s">
        <v>95</v>
      </c>
      <c r="BD97">
        <v>1.8171172494412045E-4</v>
      </c>
      <c r="BE97">
        <v>3.3169874170234873E-3</v>
      </c>
      <c r="BF97">
        <f>RESULTADOS_R!$T$27+(RESULTADOS_R!$T$28*BD96)</f>
        <v>6.9858652493140982E-4</v>
      </c>
      <c r="BG97">
        <f t="shared" si="8"/>
        <v>-5.1687479998728937E-4</v>
      </c>
    </row>
    <row r="98" spans="1:59" x14ac:dyDescent="0.25">
      <c r="A98" t="s">
        <v>133</v>
      </c>
      <c r="B98" t="s">
        <v>96</v>
      </c>
      <c r="C98">
        <v>1.8655340688216275E-3</v>
      </c>
      <c r="D98">
        <v>-1.6288336712432995E-3</v>
      </c>
      <c r="E98">
        <v>6.4121813242516111E-3</v>
      </c>
      <c r="F98">
        <v>1.6989825097564111E-3</v>
      </c>
      <c r="G98">
        <v>7.3056404454466999E-3</v>
      </c>
      <c r="H98">
        <f>RESULTADOS_R!$T$4+(RESULTADOS_R!$T$5*C97)+(RESULTADOS_R!$T$6*C96)+(RESULTADOS_R!$T$7*C95)+(RESULTADOS_R!$T$8*C94)</f>
        <v>2.1799521766207855E-3</v>
      </c>
      <c r="I98">
        <f t="shared" si="11"/>
        <v>-3.1441810779915796E-4</v>
      </c>
      <c r="J98" s="3"/>
      <c r="K98" t="s">
        <v>133</v>
      </c>
      <c r="L98" t="s">
        <v>96</v>
      </c>
      <c r="M98">
        <v>4.123589937962586E-4</v>
      </c>
      <c r="N98">
        <v>2.3571007769701327E-4</v>
      </c>
      <c r="O98">
        <v>-4.7136460924585032E-4</v>
      </c>
      <c r="P98">
        <v>-4.711425293277339E-4</v>
      </c>
      <c r="Q98">
        <v>4.7114252932772675E-4</v>
      </c>
      <c r="R98">
        <v>5.8924048608429878E-4</v>
      </c>
      <c r="S98">
        <f>RESULTADOS_R!$T$9+(RESULTADOS_R!$T$10*M97)+(RESULTADOS_R!$T$11*M96)+(RESULTADOS_R!$T$12*M95)+(RESULTADOS_R!$T$13*M94)+(RESULTADOS_R!$T$14*M93)</f>
        <v>-1.0838394322813273E-5</v>
      </c>
      <c r="T98">
        <f t="shared" si="13"/>
        <v>4.2319738811907187E-4</v>
      </c>
      <c r="U98" s="3"/>
      <c r="V98" t="s">
        <v>133</v>
      </c>
      <c r="W98" t="s">
        <v>96</v>
      </c>
      <c r="X98">
        <v>9.5230445420916143E-3</v>
      </c>
      <c r="Y98">
        <v>-1.0873787888380542E-2</v>
      </c>
      <c r="Z98">
        <v>1.1475395749792299E-2</v>
      </c>
      <c r="AA98">
        <f>RESULTADOS_R!$T$15+(RESULTADOS_R!$T$16*'EV1-ER-AR'!X97)+(RESULTADOS_R!$T$17*'EV1-ER-AR'!X96)</f>
        <v>-3.4998597583852115E-3</v>
      </c>
      <c r="AB98">
        <f t="shared" si="9"/>
        <v>1.3022904300476826E-2</v>
      </c>
      <c r="AC98" s="3"/>
      <c r="AD98" t="s">
        <v>133</v>
      </c>
      <c r="AE98" t="s">
        <v>96</v>
      </c>
      <c r="AF98">
        <v>5.838255361229093E-2</v>
      </c>
      <c r="AG98">
        <f>RESULTADOS_R!$T$18</f>
        <v>4.3639999999999998E-3</v>
      </c>
      <c r="AH98">
        <f t="shared" si="7"/>
        <v>5.401855361229093E-2</v>
      </c>
      <c r="AI98" s="3"/>
      <c r="AJ98" t="s">
        <v>133</v>
      </c>
      <c r="AK98" t="s">
        <v>96</v>
      </c>
      <c r="AL98">
        <v>5.2576922156569103E-3</v>
      </c>
      <c r="AM98">
        <v>6.8491238522010722E-3</v>
      </c>
      <c r="AN98">
        <v>-1.3340356551013023E-3</v>
      </c>
      <c r="AO98">
        <v>-2.9171809402243408E-3</v>
      </c>
      <c r="AP98">
        <v>1.279199815495429E-3</v>
      </c>
      <c r="AQ98">
        <f>RESULTADOS_R!$T$19+(RESULTADOS_R!$T$20*AL97)+(RESULTADOS_R!$T$21*AL96)+(RESULTADOS_R!$T$22*AL95)+(RESULTADOS_R!$T$23*AL94)</f>
        <v>1.8919269135325625E-3</v>
      </c>
      <c r="AR98">
        <f t="shared" si="12"/>
        <v>3.3657653021243478E-3</v>
      </c>
      <c r="AS98" s="3"/>
      <c r="AT98" t="s">
        <v>133</v>
      </c>
      <c r="AU98" t="s">
        <v>96</v>
      </c>
      <c r="AV98">
        <v>5.8036104453400243E-3</v>
      </c>
      <c r="AW98">
        <v>9.3529736517935346E-3</v>
      </c>
      <c r="AX98">
        <v>-9.6138969815210678E-3</v>
      </c>
      <c r="AY98">
        <f>RESULTADOS_R!$T$24+(RESULTADOS_R!$T$25*AV97)+(RESULTADOS_R!$T$26*AV96)</f>
        <v>1.326027640985339E-3</v>
      </c>
      <c r="AZ98">
        <f t="shared" si="10"/>
        <v>4.4775828043546852E-3</v>
      </c>
      <c r="BA98" s="3"/>
      <c r="BB98" t="s">
        <v>133</v>
      </c>
      <c r="BC98" t="s">
        <v>96</v>
      </c>
      <c r="BD98">
        <v>5.7520272435764312E-4</v>
      </c>
      <c r="BE98">
        <v>1.8171172494412045E-4</v>
      </c>
      <c r="BF98">
        <f>RESULTADOS_R!$T$27+(RESULTADOS_R!$T$28*BD97)</f>
        <v>1.0032268276613945E-4</v>
      </c>
      <c r="BG98">
        <f t="shared" si="8"/>
        <v>4.7488004159150369E-4</v>
      </c>
    </row>
    <row r="99" spans="1:59" x14ac:dyDescent="0.25">
      <c r="A99" t="s">
        <v>133</v>
      </c>
      <c r="B99" t="s">
        <v>97</v>
      </c>
      <c r="C99">
        <v>-2.9331181683205027E-3</v>
      </c>
      <c r="D99">
        <v>1.8655340688216275E-3</v>
      </c>
      <c r="E99">
        <v>-1.6288336712432995E-3</v>
      </c>
      <c r="F99">
        <v>6.4121813242516111E-3</v>
      </c>
      <c r="G99">
        <v>1.6989825097564111E-3</v>
      </c>
      <c r="H99">
        <f>RESULTADOS_R!$T$4+(RESULTADOS_R!$T$5*C98)+(RESULTADOS_R!$T$6*C97)+(RESULTADOS_R!$T$7*C96)+(RESULTADOS_R!$T$8*C95)</f>
        <v>8.1604582863333604E-4</v>
      </c>
      <c r="I99">
        <f t="shared" si="11"/>
        <v>-3.7491639969538387E-3</v>
      </c>
      <c r="J99" s="3"/>
      <c r="K99" t="s">
        <v>133</v>
      </c>
      <c r="L99" t="s">
        <v>97</v>
      </c>
      <c r="M99">
        <v>4.1218902394295356E-4</v>
      </c>
      <c r="N99">
        <v>4.123589937962586E-4</v>
      </c>
      <c r="O99">
        <v>2.3571007769701327E-4</v>
      </c>
      <c r="P99">
        <v>-4.7136460924585032E-4</v>
      </c>
      <c r="Q99">
        <v>-4.711425293277339E-4</v>
      </c>
      <c r="R99">
        <v>4.7114252932772675E-4</v>
      </c>
      <c r="S99">
        <f>RESULTADOS_R!$T$9+(RESULTADOS_R!$T$10*M98)+(RESULTADOS_R!$T$11*M97)+(RESULTADOS_R!$T$12*M96)+(RESULTADOS_R!$T$13*M95)+(RESULTADOS_R!$T$14*M94)</f>
        <v>-3.507898280986083E-5</v>
      </c>
      <c r="T99">
        <f t="shared" si="13"/>
        <v>4.4726800675281436E-4</v>
      </c>
      <c r="U99" s="3"/>
      <c r="V99" t="s">
        <v>133</v>
      </c>
      <c r="W99" t="s">
        <v>97</v>
      </c>
      <c r="X99">
        <v>-1.6634663914253327E-2</v>
      </c>
      <c r="Y99">
        <v>9.5230445420916143E-3</v>
      </c>
      <c r="Z99">
        <v>-1.0873787888380542E-2</v>
      </c>
      <c r="AA99">
        <f>RESULTADOS_R!$T$15+(RESULTADOS_R!$T$16*'EV1-ER-AR'!X98)+(RESULTADOS_R!$T$17*'EV1-ER-AR'!X97)</f>
        <v>6.3244788478396645E-3</v>
      </c>
      <c r="AB99">
        <f t="shared" si="9"/>
        <v>-2.2959142762092991E-2</v>
      </c>
      <c r="AC99" s="3"/>
      <c r="AD99" t="s">
        <v>133</v>
      </c>
      <c r="AE99" t="s">
        <v>97</v>
      </c>
      <c r="AF99">
        <v>-8.0293002001890195E-3</v>
      </c>
      <c r="AG99">
        <f>RESULTADOS_R!$T$18</f>
        <v>4.3639999999999998E-3</v>
      </c>
      <c r="AH99">
        <f t="shared" si="7"/>
        <v>-1.2393300200189019E-2</v>
      </c>
      <c r="AI99" s="3"/>
      <c r="AJ99" t="s">
        <v>133</v>
      </c>
      <c r="AK99" t="s">
        <v>97</v>
      </c>
      <c r="AL99">
        <v>1.0801552326118317E-2</v>
      </c>
      <c r="AM99">
        <v>5.2576922156569103E-3</v>
      </c>
      <c r="AN99">
        <v>6.8491238522010722E-3</v>
      </c>
      <c r="AO99">
        <v>-1.3340356551013023E-3</v>
      </c>
      <c r="AP99">
        <v>-2.9171809402243408E-3</v>
      </c>
      <c r="AQ99">
        <f>RESULTADOS_R!$T$19+(RESULTADOS_R!$T$20*AL98)+(RESULTADOS_R!$T$21*AL97)+(RESULTADOS_R!$T$22*AL96)+(RESULTADOS_R!$T$23*AL95)</f>
        <v>1.4516326480034732E-3</v>
      </c>
      <c r="AR99">
        <f t="shared" si="12"/>
        <v>9.3499196781148437E-3</v>
      </c>
      <c r="AS99" s="3"/>
      <c r="AT99" t="s">
        <v>133</v>
      </c>
      <c r="AU99" t="s">
        <v>97</v>
      </c>
      <c r="AV99">
        <v>2.4034836427965861E-2</v>
      </c>
      <c r="AW99">
        <v>5.8036104453400243E-3</v>
      </c>
      <c r="AX99">
        <v>9.3529736517935346E-3</v>
      </c>
      <c r="AY99">
        <f>RESULTADOS_R!$T$24+(RESULTADOS_R!$T$25*AV98)+(RESULTADOS_R!$T$26*AV97)</f>
        <v>-4.0081949300683356E-4</v>
      </c>
      <c r="AZ99">
        <f t="shared" si="10"/>
        <v>2.4435655920972695E-2</v>
      </c>
      <c r="BA99" s="3"/>
      <c r="BB99" t="s">
        <v>133</v>
      </c>
      <c r="BC99" t="s">
        <v>97</v>
      </c>
      <c r="BD99">
        <v>3.1828555707139202E-3</v>
      </c>
      <c r="BE99">
        <v>5.7520272435764312E-4</v>
      </c>
      <c r="BF99">
        <f>RESULTADOS_R!$T$27+(RESULTADOS_R!$T$28*BD98)</f>
        <v>1.7540744732490063E-4</v>
      </c>
      <c r="BG99">
        <f t="shared" si="8"/>
        <v>3.0074481233890197E-3</v>
      </c>
    </row>
    <row r="100" spans="1:59" x14ac:dyDescent="0.25">
      <c r="A100" t="s">
        <v>133</v>
      </c>
      <c r="B100" t="s">
        <v>98</v>
      </c>
      <c r="C100">
        <v>4.7065875383242939E-3</v>
      </c>
      <c r="D100">
        <v>-2.9331181683205027E-3</v>
      </c>
      <c r="E100">
        <v>1.8655340688216275E-3</v>
      </c>
      <c r="F100">
        <v>-1.6288336712432995E-3</v>
      </c>
      <c r="G100">
        <v>6.4121813242516111E-3</v>
      </c>
      <c r="H100">
        <f>RESULTADOS_R!$T$4+(RESULTADOS_R!$T$5*C99)+(RESULTADOS_R!$T$6*C98)+(RESULTADOS_R!$T$7*C97)+(RESULTADOS_R!$T$8*C96)</f>
        <v>3.7673920487133125E-3</v>
      </c>
      <c r="I100">
        <f t="shared" si="11"/>
        <v>9.3919548961098141E-4</v>
      </c>
      <c r="J100" s="3"/>
      <c r="K100" t="s">
        <v>133</v>
      </c>
      <c r="L100" t="s">
        <v>98</v>
      </c>
      <c r="M100">
        <v>1.1773709320702813E-4</v>
      </c>
      <c r="N100">
        <v>4.1218902394295356E-4</v>
      </c>
      <c r="O100">
        <v>4.123589937962586E-4</v>
      </c>
      <c r="P100">
        <v>2.3571007769701327E-4</v>
      </c>
      <c r="Q100">
        <v>-4.7136460924585032E-4</v>
      </c>
      <c r="R100">
        <v>-4.711425293277339E-4</v>
      </c>
      <c r="S100">
        <f>RESULTADOS_R!$T$9+(RESULTADOS_R!$T$10*M99)+(RESULTADOS_R!$T$11*M98)+(RESULTADOS_R!$T$12*M97)+(RESULTADOS_R!$T$13*M96)+(RESULTADOS_R!$T$14*M95)</f>
        <v>-6.0235769201420368E-5</v>
      </c>
      <c r="T100">
        <f t="shared" si="13"/>
        <v>1.7797286240844851E-4</v>
      </c>
      <c r="U100" s="3"/>
      <c r="V100" t="s">
        <v>133</v>
      </c>
      <c r="W100" t="s">
        <v>98</v>
      </c>
      <c r="X100">
        <v>-5.1449994054442179E-2</v>
      </c>
      <c r="Y100">
        <v>-1.6634663914253327E-2</v>
      </c>
      <c r="Z100">
        <v>9.5230445420916143E-3</v>
      </c>
      <c r="AA100">
        <f>RESULTADOS_R!$T$15+(RESULTADOS_R!$T$16*'EV1-ER-AR'!X99)+(RESULTADOS_R!$T$17*'EV1-ER-AR'!X98)</f>
        <v>-4.4191222933198113E-3</v>
      </c>
      <c r="AB100">
        <f t="shared" si="9"/>
        <v>-4.7030871761122368E-2</v>
      </c>
      <c r="AC100" s="3"/>
      <c r="AD100" t="s">
        <v>133</v>
      </c>
      <c r="AE100" t="s">
        <v>98</v>
      </c>
      <c r="AF100">
        <v>-8.1937140666390421E-2</v>
      </c>
      <c r="AG100">
        <f>RESULTADOS_R!$T$18</f>
        <v>4.3639999999999998E-3</v>
      </c>
      <c r="AH100">
        <f t="shared" si="7"/>
        <v>-8.6301140666390413E-2</v>
      </c>
      <c r="AI100" s="3"/>
      <c r="AJ100" t="s">
        <v>133</v>
      </c>
      <c r="AK100" t="s">
        <v>98</v>
      </c>
      <c r="AL100">
        <v>6.0556267889029392E-3</v>
      </c>
      <c r="AM100">
        <v>1.0801552326118317E-2</v>
      </c>
      <c r="AN100">
        <v>5.2576922156569103E-3</v>
      </c>
      <c r="AO100">
        <v>6.8491238522010722E-3</v>
      </c>
      <c r="AP100">
        <v>-1.3340356551013023E-3</v>
      </c>
      <c r="AQ100">
        <f>RESULTADOS_R!$T$19+(RESULTADOS_R!$T$20*AL99)+(RESULTADOS_R!$T$21*AL98)+(RESULTADOS_R!$T$22*AL97)+(RESULTADOS_R!$T$23*AL96)</f>
        <v>3.8817467025157671E-4</v>
      </c>
      <c r="AR100">
        <f t="shared" si="12"/>
        <v>5.6674521186513629E-3</v>
      </c>
      <c r="AS100" s="3"/>
      <c r="AT100" t="s">
        <v>133</v>
      </c>
      <c r="AU100" t="s">
        <v>98</v>
      </c>
      <c r="AV100">
        <v>1.3057708100857475E-2</v>
      </c>
      <c r="AW100">
        <v>2.4034836427965861E-2</v>
      </c>
      <c r="AX100">
        <v>5.8036104453400243E-3</v>
      </c>
      <c r="AY100">
        <f>RESULTADOS_R!$T$24+(RESULTADOS_R!$T$25*AV99)+(RESULTADOS_R!$T$26*AV98)</f>
        <v>-9.5690058426392414E-4</v>
      </c>
      <c r="AZ100">
        <f t="shared" si="10"/>
        <v>1.4014608685121398E-2</v>
      </c>
      <c r="BA100" s="3"/>
      <c r="BB100" t="s">
        <v>133</v>
      </c>
      <c r="BC100" t="s">
        <v>98</v>
      </c>
      <c r="BD100">
        <v>2.6613789591992936E-3</v>
      </c>
      <c r="BE100">
        <v>3.1828555707139202E-3</v>
      </c>
      <c r="BF100">
        <f>RESULTADOS_R!$T$27+(RESULTADOS_R!$T$28*BD99)</f>
        <v>6.7299189096266222E-4</v>
      </c>
      <c r="BG100">
        <f t="shared" si="8"/>
        <v>1.9883870682366315E-3</v>
      </c>
    </row>
    <row r="101" spans="1:59" x14ac:dyDescent="0.25">
      <c r="A101" t="s">
        <v>133</v>
      </c>
      <c r="B101" t="s">
        <v>99</v>
      </c>
      <c r="C101">
        <v>-3.84649999364492E-3</v>
      </c>
      <c r="D101">
        <v>4.7065875383242939E-3</v>
      </c>
      <c r="E101">
        <v>-2.9331181683205027E-3</v>
      </c>
      <c r="F101">
        <v>1.8655340688216275E-3</v>
      </c>
      <c r="G101">
        <v>-1.6288336712432995E-3</v>
      </c>
      <c r="H101">
        <f>RESULTADOS_R!$T$4+(RESULTADOS_R!$T$5*C100)+(RESULTADOS_R!$T$6*C99)+(RESULTADOS_R!$T$7*C98)+(RESULTADOS_R!$T$8*C97)</f>
        <v>1.2767323263654883E-3</v>
      </c>
      <c r="I101">
        <f t="shared" si="11"/>
        <v>-5.1232323200104081E-3</v>
      </c>
      <c r="J101" s="3"/>
      <c r="K101" t="s">
        <v>133</v>
      </c>
      <c r="L101" t="s">
        <v>99</v>
      </c>
      <c r="M101">
        <v>2.3543260850361804E-4</v>
      </c>
      <c r="N101">
        <v>1.1773709320702813E-4</v>
      </c>
      <c r="O101">
        <v>4.1218902394295356E-4</v>
      </c>
      <c r="P101">
        <v>4.123589937962586E-4</v>
      </c>
      <c r="Q101">
        <v>2.3571007769701327E-4</v>
      </c>
      <c r="R101">
        <v>-4.7136460924585032E-4</v>
      </c>
      <c r="S101">
        <f>RESULTADOS_R!$T$9+(RESULTADOS_R!$T$10*M100)+(RESULTADOS_R!$T$11*M99)+(RESULTADOS_R!$T$12*M98)+(RESULTADOS_R!$T$13*M97)+(RESULTADOS_R!$T$14*M96)</f>
        <v>-2.6822173705761162E-5</v>
      </c>
      <c r="T101">
        <f t="shared" si="13"/>
        <v>2.6225478220937921E-4</v>
      </c>
      <c r="U101" s="3"/>
      <c r="V101" t="s">
        <v>133</v>
      </c>
      <c r="W101" t="s">
        <v>99</v>
      </c>
      <c r="X101">
        <v>-2.5892499017428593E-3</v>
      </c>
      <c r="Y101">
        <v>-5.1449994054442179E-2</v>
      </c>
      <c r="Z101">
        <v>-1.6634663914253327E-2</v>
      </c>
      <c r="AA101">
        <f>RESULTADOS_R!$T$15+(RESULTADOS_R!$T$16*'EV1-ER-AR'!X100)+(RESULTADOS_R!$T$17*'EV1-ER-AR'!X99)</f>
        <v>-6.7508529495069235E-3</v>
      </c>
      <c r="AB101">
        <f t="shared" si="9"/>
        <v>4.1616030477640642E-3</v>
      </c>
      <c r="AC101" s="3"/>
      <c r="AD101" t="s">
        <v>133</v>
      </c>
      <c r="AE101" t="s">
        <v>99</v>
      </c>
      <c r="AF101">
        <v>-7.0097280950612954E-3</v>
      </c>
      <c r="AG101">
        <f>RESULTADOS_R!$T$18</f>
        <v>4.3639999999999998E-3</v>
      </c>
      <c r="AH101">
        <f t="shared" si="7"/>
        <v>-1.1373728095061295E-2</v>
      </c>
      <c r="AI101" s="3"/>
      <c r="AJ101" t="s">
        <v>133</v>
      </c>
      <c r="AK101" t="s">
        <v>99</v>
      </c>
      <c r="AL101">
        <v>4.988652828567198E-3</v>
      </c>
      <c r="AM101">
        <v>6.0556267889029392E-3</v>
      </c>
      <c r="AN101">
        <v>1.0801552326118317E-2</v>
      </c>
      <c r="AO101">
        <v>5.2576922156569103E-3</v>
      </c>
      <c r="AP101">
        <v>6.8491238522010722E-3</v>
      </c>
      <c r="AQ101">
        <f>RESULTADOS_R!$T$19+(RESULTADOS_R!$T$20*AL100)+(RESULTADOS_R!$T$21*AL99)+(RESULTADOS_R!$T$22*AL98)+(RESULTADOS_R!$T$23*AL97)</f>
        <v>1.3539097289499958E-3</v>
      </c>
      <c r="AR101">
        <f t="shared" si="12"/>
        <v>3.6347430996172022E-3</v>
      </c>
      <c r="AS101" s="3"/>
      <c r="AT101" t="s">
        <v>133</v>
      </c>
      <c r="AU101" t="s">
        <v>99</v>
      </c>
      <c r="AV101">
        <v>-2.612104227924955E-3</v>
      </c>
      <c r="AW101">
        <v>1.3057708100857475E-2</v>
      </c>
      <c r="AX101">
        <v>2.4034836427965861E-2</v>
      </c>
      <c r="AY101">
        <f>RESULTADOS_R!$T$24+(RESULTADOS_R!$T$25*AV100)+(RESULTADOS_R!$T$26*AV99)</f>
        <v>-2.2381185892306841E-3</v>
      </c>
      <c r="AZ101">
        <f t="shared" si="10"/>
        <v>-3.7398563869427094E-4</v>
      </c>
      <c r="BA101" s="3"/>
      <c r="BB101" t="s">
        <v>133</v>
      </c>
      <c r="BC101" t="s">
        <v>99</v>
      </c>
      <c r="BD101">
        <v>1.6034477554801212E-3</v>
      </c>
      <c r="BE101">
        <v>2.6613789591992936E-3</v>
      </c>
      <c r="BF101">
        <f>RESULTADOS_R!$T$27+(RESULTADOS_R!$T$28*BD100)</f>
        <v>5.734852982913314E-4</v>
      </c>
      <c r="BG101">
        <f t="shared" si="8"/>
        <v>1.0299624571887898E-3</v>
      </c>
    </row>
    <row r="102" spans="1:59" x14ac:dyDescent="0.25">
      <c r="A102" t="s">
        <v>130</v>
      </c>
      <c r="B102" t="s">
        <v>100</v>
      </c>
      <c r="C102">
        <v>-1.0549941391183914E-2</v>
      </c>
      <c r="D102">
        <v>-3.84649999364492E-3</v>
      </c>
      <c r="E102">
        <v>4.7065875383242939E-3</v>
      </c>
      <c r="F102">
        <v>-2.9331181683205027E-3</v>
      </c>
      <c r="G102">
        <v>1.8655340688216275E-3</v>
      </c>
      <c r="H102">
        <f>RESULTADOS_R!$T$4+(RESULTADOS_R!$T$5*C101)+(RESULTADOS_R!$T$6*C100)+(RESULTADOS_R!$T$7*C99)+(RESULTADOS_R!$T$8*C98)</f>
        <v>2.8624856685156293E-3</v>
      </c>
      <c r="I102">
        <f t="shared" si="11"/>
        <v>-1.3412427059699543E-2</v>
      </c>
      <c r="J102" s="3"/>
      <c r="K102" t="s">
        <v>130</v>
      </c>
      <c r="L102" t="s">
        <v>100</v>
      </c>
      <c r="M102">
        <v>8.2357790407262344E-4</v>
      </c>
      <c r="N102">
        <v>2.3543260850361804E-4</v>
      </c>
      <c r="O102">
        <v>1.1773709320702813E-4</v>
      </c>
      <c r="P102">
        <v>4.1218902394295356E-4</v>
      </c>
      <c r="Q102">
        <v>4.123589937962586E-4</v>
      </c>
      <c r="R102">
        <v>2.3571007769701327E-4</v>
      </c>
      <c r="S102">
        <f>RESULTADOS_R!$T$9+(RESULTADOS_R!$T$10*M101)+(RESULTADOS_R!$T$11*M100)+(RESULTADOS_R!$T$12*M99)+(RESULTADOS_R!$T$13*M98)+(RESULTADOS_R!$T$14*M97)</f>
        <v>-1.1307610966849066E-4</v>
      </c>
      <c r="T102">
        <f t="shared" si="13"/>
        <v>9.3665401374111413E-4</v>
      </c>
      <c r="U102" s="3"/>
      <c r="V102" t="s">
        <v>130</v>
      </c>
      <c r="W102" t="s">
        <v>100</v>
      </c>
      <c r="X102">
        <v>8.081477429428368E-3</v>
      </c>
      <c r="Y102">
        <v>-2.5892499017428593E-3</v>
      </c>
      <c r="Z102">
        <v>-5.1449994054442179E-2</v>
      </c>
      <c r="AA102">
        <f>RESULTADOS_R!$T$15+(RESULTADOS_R!$T$16*'EV1-ER-AR'!X101)+(RESULTADOS_R!$T$17*'EV1-ER-AR'!X100)</f>
        <v>1.2580017651049959E-2</v>
      </c>
      <c r="AB102">
        <f t="shared" si="9"/>
        <v>-4.4985402216215914E-3</v>
      </c>
      <c r="AC102" s="3"/>
      <c r="AD102" t="s">
        <v>130</v>
      </c>
      <c r="AE102" t="s">
        <v>100</v>
      </c>
      <c r="AF102">
        <v>2.923006882047071E-2</v>
      </c>
      <c r="AG102">
        <f>RESULTADOS_R!$T$18</f>
        <v>4.3639999999999998E-3</v>
      </c>
      <c r="AH102">
        <f t="shared" si="7"/>
        <v>2.486606882047071E-2</v>
      </c>
      <c r="AI102" s="3"/>
      <c r="AJ102" t="s">
        <v>130</v>
      </c>
      <c r="AK102" t="s">
        <v>100</v>
      </c>
      <c r="AL102">
        <v>1.4708851320128832E-2</v>
      </c>
      <c r="AM102">
        <v>4.988652828567198E-3</v>
      </c>
      <c r="AN102">
        <v>6.0556267889029392E-3</v>
      </c>
      <c r="AO102">
        <v>1.0801552326118317E-2</v>
      </c>
      <c r="AP102">
        <v>5.2576922156569103E-3</v>
      </c>
      <c r="AQ102">
        <f>RESULTADOS_R!$T$19+(RESULTADOS_R!$T$20*AL101)+(RESULTADOS_R!$T$21*AL100)+(RESULTADOS_R!$T$22*AL99)+(RESULTADOS_R!$T$23*AL98)</f>
        <v>-1.4579182924091643E-4</v>
      </c>
      <c r="AR102">
        <f t="shared" si="12"/>
        <v>1.4854643149369748E-2</v>
      </c>
      <c r="AS102" s="3"/>
      <c r="AT102" t="s">
        <v>130</v>
      </c>
      <c r="AU102" t="s">
        <v>100</v>
      </c>
      <c r="AV102">
        <v>6.0193364921571155E-3</v>
      </c>
      <c r="AW102">
        <v>-2.612104227924955E-3</v>
      </c>
      <c r="AX102">
        <v>1.3057708100857475E-2</v>
      </c>
      <c r="AY102">
        <f>RESULTADOS_R!$T$24+(RESULTADOS_R!$T$25*AV101)+(RESULTADOS_R!$T$26*AV100)</f>
        <v>-3.5160876250114816E-4</v>
      </c>
      <c r="AZ102">
        <f t="shared" si="10"/>
        <v>6.3709452546582635E-3</v>
      </c>
      <c r="BA102" s="3"/>
      <c r="BB102" t="s">
        <v>130</v>
      </c>
      <c r="BC102" t="s">
        <v>100</v>
      </c>
      <c r="BD102">
        <v>-6.056454857465806E-3</v>
      </c>
      <c r="BE102">
        <v>1.6034477554801212E-3</v>
      </c>
      <c r="BF102">
        <f>RESULTADOS_R!$T$27+(RESULTADOS_R!$T$28*BD101)</f>
        <v>3.716140598919429E-4</v>
      </c>
      <c r="BG102">
        <f t="shared" si="8"/>
        <v>-6.4280689173577491E-3</v>
      </c>
    </row>
    <row r="103" spans="1:59" x14ac:dyDescent="0.25">
      <c r="A103" t="s">
        <v>130</v>
      </c>
      <c r="B103" t="s">
        <v>101</v>
      </c>
      <c r="C103">
        <v>-3.4099926244712302E-2</v>
      </c>
      <c r="D103">
        <v>-1.0549941391183914E-2</v>
      </c>
      <c r="E103">
        <v>-3.84649999364492E-3</v>
      </c>
      <c r="F103">
        <v>4.7065875383242939E-3</v>
      </c>
      <c r="G103">
        <v>-2.9331181683205027E-3</v>
      </c>
      <c r="H103">
        <f>RESULTADOS_R!$T$4+(RESULTADOS_R!$T$5*C102)+(RESULTADOS_R!$T$6*C101)+(RESULTADOS_R!$T$7*C100)+(RESULTADOS_R!$T$8*C99)</f>
        <v>2.0616674848316133E-3</v>
      </c>
      <c r="I103">
        <f t="shared" si="11"/>
        <v>-3.6161593729543917E-2</v>
      </c>
      <c r="J103" s="3"/>
      <c r="K103" t="s">
        <v>130</v>
      </c>
      <c r="L103" t="s">
        <v>101</v>
      </c>
      <c r="M103">
        <v>1.6451237552884354E-3</v>
      </c>
      <c r="N103">
        <v>8.2357790407262344E-4</v>
      </c>
      <c r="O103">
        <v>2.3543260850361804E-4</v>
      </c>
      <c r="P103">
        <v>1.1773709320702813E-4</v>
      </c>
      <c r="Q103">
        <v>4.1218902394295356E-4</v>
      </c>
      <c r="R103">
        <v>4.123589937962586E-4</v>
      </c>
      <c r="S103">
        <f>RESULTADOS_R!$T$9+(RESULTADOS_R!$T$10*M102)+(RESULTADOS_R!$T$11*M101)+(RESULTADOS_R!$T$12*M100)+(RESULTADOS_R!$T$13*M99)+(RESULTADOS_R!$T$14*M98)</f>
        <v>-1.5041647722210697E-4</v>
      </c>
      <c r="T103">
        <f t="shared" si="13"/>
        <v>1.7955402325105423E-3</v>
      </c>
      <c r="U103" s="3"/>
      <c r="V103" t="s">
        <v>130</v>
      </c>
      <c r="W103" t="s">
        <v>101</v>
      </c>
      <c r="X103">
        <v>-3.7510630997187491E-3</v>
      </c>
      <c r="Y103">
        <v>8.081477429428368E-3</v>
      </c>
      <c r="Z103">
        <v>-2.5892499017428593E-3</v>
      </c>
      <c r="AA103">
        <f>RESULTADOS_R!$T$15+(RESULTADOS_R!$T$16*'EV1-ER-AR'!X102)+(RESULTADOS_R!$T$17*'EV1-ER-AR'!X101)</f>
        <v>4.1247769897767954E-3</v>
      </c>
      <c r="AB103">
        <f t="shared" si="9"/>
        <v>-7.8758400894955449E-3</v>
      </c>
      <c r="AC103" s="3"/>
      <c r="AD103" t="s">
        <v>130</v>
      </c>
      <c r="AE103" t="s">
        <v>101</v>
      </c>
      <c r="AF103">
        <v>-1.447561903540729E-3</v>
      </c>
      <c r="AG103">
        <f>RESULTADOS_R!$T$18</f>
        <v>4.3639999999999998E-3</v>
      </c>
      <c r="AH103">
        <f t="shared" si="7"/>
        <v>-5.811561903540729E-3</v>
      </c>
      <c r="AI103" s="3"/>
      <c r="AJ103" t="s">
        <v>130</v>
      </c>
      <c r="AK103" t="s">
        <v>101</v>
      </c>
      <c r="AL103">
        <v>1.0301445042059378E-2</v>
      </c>
      <c r="AM103">
        <v>1.4708851320128832E-2</v>
      </c>
      <c r="AN103">
        <v>4.988652828567198E-3</v>
      </c>
      <c r="AO103">
        <v>6.0556267889029392E-3</v>
      </c>
      <c r="AP103">
        <v>1.0801552326118317E-2</v>
      </c>
      <c r="AQ103">
        <f>RESULTADOS_R!$T$19+(RESULTADOS_R!$T$20*AL102)+(RESULTADOS_R!$T$21*AL101)+(RESULTADOS_R!$T$22*AL100)+(RESULTADOS_R!$T$23*AL99)</f>
        <v>1.9573184706041008E-3</v>
      </c>
      <c r="AR103">
        <f t="shared" si="12"/>
        <v>8.3441265714552775E-3</v>
      </c>
      <c r="AS103" s="3"/>
      <c r="AT103" t="s">
        <v>130</v>
      </c>
      <c r="AU103" t="s">
        <v>101</v>
      </c>
      <c r="AV103">
        <v>8.6072603264025858E-3</v>
      </c>
      <c r="AW103">
        <v>6.0193364921571155E-3</v>
      </c>
      <c r="AX103">
        <v>-2.612104227924955E-3</v>
      </c>
      <c r="AY103">
        <f>RESULTADOS_R!$T$24+(RESULTADOS_R!$T$25*AV102)+(RESULTADOS_R!$T$26*AV101)</f>
        <v>7.898159676592982E-4</v>
      </c>
      <c r="AZ103">
        <f t="shared" si="10"/>
        <v>7.8174443587432883E-3</v>
      </c>
      <c r="BA103" s="3"/>
      <c r="BB103" t="s">
        <v>130</v>
      </c>
      <c r="BC103" t="s">
        <v>101</v>
      </c>
      <c r="BD103">
        <v>9.7673466261456493E-4</v>
      </c>
      <c r="BE103">
        <v>-6.056454857465806E-3</v>
      </c>
      <c r="BF103">
        <f>RESULTADOS_R!$T$27+(RESULTADOS_R!$T$28*BD102)</f>
        <v>-1.0900254314644103E-3</v>
      </c>
      <c r="BG103">
        <f t="shared" si="8"/>
        <v>2.0667600940789755E-3</v>
      </c>
    </row>
    <row r="104" spans="1:59" x14ac:dyDescent="0.25">
      <c r="A104" t="s">
        <v>130</v>
      </c>
      <c r="B104" t="s">
        <v>102</v>
      </c>
      <c r="C104">
        <v>-3.0754221824449209E-2</v>
      </c>
      <c r="D104">
        <v>-3.4099926244712302E-2</v>
      </c>
      <c r="E104">
        <v>-1.0549941391183914E-2</v>
      </c>
      <c r="F104">
        <v>-3.84649999364492E-3</v>
      </c>
      <c r="G104">
        <v>4.7065875383242939E-3</v>
      </c>
      <c r="H104">
        <f>RESULTADOS_R!$T$4+(RESULTADOS_R!$T$5*C103)+(RESULTADOS_R!$T$6*C102)+(RESULTADOS_R!$T$7*C101)+(RESULTADOS_R!$T$8*C100)</f>
        <v>9.3937738115447561E-3</v>
      </c>
      <c r="I104">
        <f t="shared" si="11"/>
        <v>-4.0147995635993965E-2</v>
      </c>
      <c r="J104" s="3"/>
      <c r="K104" t="s">
        <v>130</v>
      </c>
      <c r="L104" t="s">
        <v>102</v>
      </c>
      <c r="M104">
        <v>1.0561521840747742E-3</v>
      </c>
      <c r="N104">
        <v>1.6451237552884354E-3</v>
      </c>
      <c r="O104">
        <v>8.2357790407262344E-4</v>
      </c>
      <c r="P104">
        <v>2.3543260850361804E-4</v>
      </c>
      <c r="Q104">
        <v>1.1773709320702813E-4</v>
      </c>
      <c r="R104">
        <v>4.1218902394295356E-4</v>
      </c>
      <c r="S104">
        <f>RESULTADOS_R!$T$9+(RESULTADOS_R!$T$10*M103)+(RESULTADOS_R!$T$11*M102)+(RESULTADOS_R!$T$12*M101)+(RESULTADOS_R!$T$13*M100)+(RESULTADOS_R!$T$14*M99)</f>
        <v>-2.6790499759936804E-4</v>
      </c>
      <c r="T104">
        <f t="shared" si="13"/>
        <v>1.3240571816741423E-3</v>
      </c>
      <c r="U104" s="3"/>
      <c r="V104" t="s">
        <v>130</v>
      </c>
      <c r="W104" t="s">
        <v>102</v>
      </c>
      <c r="X104">
        <v>-3.2487228052061383E-2</v>
      </c>
      <c r="Y104">
        <v>-3.7510630997187491E-3</v>
      </c>
      <c r="Z104">
        <v>8.081477429428368E-3</v>
      </c>
      <c r="AA104">
        <f>RESULTADOS_R!$T$15+(RESULTADOS_R!$T$16*'EV1-ER-AR'!X103)+(RESULTADOS_R!$T$17*'EV1-ER-AR'!X102)</f>
        <v>-1.0593610190036723E-3</v>
      </c>
      <c r="AB104">
        <f t="shared" si="9"/>
        <v>-3.1427867033057708E-2</v>
      </c>
      <c r="AC104" s="3"/>
      <c r="AD104" t="s">
        <v>130</v>
      </c>
      <c r="AE104" t="s">
        <v>102</v>
      </c>
      <c r="AF104">
        <v>-6.7853201348755235E-2</v>
      </c>
      <c r="AG104">
        <f>RESULTADOS_R!$T$18</f>
        <v>4.3639999999999998E-3</v>
      </c>
      <c r="AH104">
        <f t="shared" si="7"/>
        <v>-7.2217201348755228E-2</v>
      </c>
      <c r="AI104" s="3"/>
      <c r="AJ104" t="s">
        <v>130</v>
      </c>
      <c r="AK104" t="s">
        <v>102</v>
      </c>
      <c r="AL104">
        <v>-1.5376050025436261E-2</v>
      </c>
      <c r="AM104">
        <v>1.0301445042059378E-2</v>
      </c>
      <c r="AN104">
        <v>1.4708851320128832E-2</v>
      </c>
      <c r="AO104">
        <v>4.988652828567198E-3</v>
      </c>
      <c r="AP104">
        <v>6.0556267889029392E-3</v>
      </c>
      <c r="AQ104">
        <f>RESULTADOS_R!$T$19+(RESULTADOS_R!$T$20*AL103)+(RESULTADOS_R!$T$21*AL102)+(RESULTADOS_R!$T$22*AL101)+(RESULTADOS_R!$T$23*AL100)</f>
        <v>1.8279271232344244E-3</v>
      </c>
      <c r="AR104">
        <f t="shared" si="12"/>
        <v>-1.7203977148670686E-2</v>
      </c>
      <c r="AS104" s="3"/>
      <c r="AT104" t="s">
        <v>130</v>
      </c>
      <c r="AU104" t="s">
        <v>102</v>
      </c>
      <c r="AV104">
        <v>-3.4793719480179092E-2</v>
      </c>
      <c r="AW104">
        <v>8.6072603264025858E-3</v>
      </c>
      <c r="AX104">
        <v>6.0193364921571155E-3</v>
      </c>
      <c r="AY104">
        <f>RESULTADOS_R!$T$24+(RESULTADOS_R!$T$25*AV103)+(RESULTADOS_R!$T$26*AV102)</f>
        <v>-2.0640716963043083E-4</v>
      </c>
      <c r="AZ104">
        <f t="shared" si="10"/>
        <v>-3.4587312310548658E-2</v>
      </c>
      <c r="BA104" s="3"/>
      <c r="BB104" t="s">
        <v>130</v>
      </c>
      <c r="BC104" t="s">
        <v>102</v>
      </c>
      <c r="BD104">
        <v>-3.9429881617532555E-3</v>
      </c>
      <c r="BE104">
        <v>9.7673466261456493E-4</v>
      </c>
      <c r="BF104">
        <f>RESULTADOS_R!$T$27+(RESULTADOS_R!$T$28*BD103)</f>
        <v>2.5202655955816486E-4</v>
      </c>
      <c r="BG104">
        <f t="shared" si="8"/>
        <v>-4.1950147213114207E-3</v>
      </c>
    </row>
    <row r="105" spans="1:59" x14ac:dyDescent="0.25">
      <c r="A105" t="s">
        <v>130</v>
      </c>
      <c r="B105" t="s">
        <v>103</v>
      </c>
      <c r="C105">
        <v>-3.7792697834380211E-3</v>
      </c>
      <c r="D105">
        <v>-3.0754221824449209E-2</v>
      </c>
      <c r="E105">
        <v>-3.4099926244712302E-2</v>
      </c>
      <c r="F105">
        <v>-1.0549941391183914E-2</v>
      </c>
      <c r="G105">
        <v>-3.84649999364492E-3</v>
      </c>
      <c r="H105">
        <f>RESULTADOS_R!$T$4+(RESULTADOS_R!$T$5*C104)+(RESULTADOS_R!$T$6*C103)+(RESULTADOS_R!$T$7*C102)+(RESULTADOS_R!$T$8*C101)</f>
        <v>1.3021909469590327E-2</v>
      </c>
      <c r="I105">
        <f t="shared" si="11"/>
        <v>-1.6801179253028348E-2</v>
      </c>
      <c r="J105" s="3"/>
      <c r="K105" t="s">
        <v>130</v>
      </c>
      <c r="L105" t="s">
        <v>103</v>
      </c>
      <c r="M105">
        <v>7.0348226608537374E-4</v>
      </c>
      <c r="N105">
        <v>1.0561521840747742E-3</v>
      </c>
      <c r="O105">
        <v>1.6451237552884354E-3</v>
      </c>
      <c r="P105">
        <v>8.2357790407262344E-4</v>
      </c>
      <c r="Q105">
        <v>2.3543260850361804E-4</v>
      </c>
      <c r="R105">
        <v>1.1773709320702813E-4</v>
      </c>
      <c r="S105">
        <f>RESULTADOS_R!$T$9+(RESULTADOS_R!$T$10*M104)+(RESULTADOS_R!$T$11*M103)+(RESULTADOS_R!$T$12*M102)+(RESULTADOS_R!$T$13*M101)+(RESULTADOS_R!$T$14*M100)</f>
        <v>-2.361216955368557E-4</v>
      </c>
      <c r="T105">
        <f t="shared" si="13"/>
        <v>9.3960396162222945E-4</v>
      </c>
      <c r="U105" s="3"/>
      <c r="V105" t="s">
        <v>130</v>
      </c>
      <c r="W105" t="s">
        <v>103</v>
      </c>
      <c r="X105">
        <v>-5.7407727205007635E-2</v>
      </c>
      <c r="Y105">
        <v>-3.2487228052061383E-2</v>
      </c>
      <c r="Z105">
        <v>-3.7510630997187491E-3</v>
      </c>
      <c r="AA105">
        <f>RESULTADOS_R!$T$15+(RESULTADOS_R!$T$16*'EV1-ER-AR'!X104)+(RESULTADOS_R!$T$17*'EV1-ER-AR'!X103)</f>
        <v>-5.1746802713574739E-3</v>
      </c>
      <c r="AB105">
        <f t="shared" si="9"/>
        <v>-5.2233046933650162E-2</v>
      </c>
      <c r="AC105" s="3"/>
      <c r="AD105" t="s">
        <v>130</v>
      </c>
      <c r="AE105" t="s">
        <v>103</v>
      </c>
      <c r="AF105">
        <v>-9.357371733747577E-2</v>
      </c>
      <c r="AG105">
        <f>RESULTADOS_R!$T$18</f>
        <v>4.3639999999999998E-3</v>
      </c>
      <c r="AH105">
        <f t="shared" si="7"/>
        <v>-9.7937717337475777E-2</v>
      </c>
      <c r="AI105" s="3"/>
      <c r="AJ105" t="s">
        <v>130</v>
      </c>
      <c r="AK105" t="s">
        <v>103</v>
      </c>
      <c r="AL105">
        <v>2.7966580477920243E-3</v>
      </c>
      <c r="AM105">
        <v>-1.5376050025436261E-2</v>
      </c>
      <c r="AN105">
        <v>1.0301445042059378E-2</v>
      </c>
      <c r="AO105">
        <v>1.4708851320128832E-2</v>
      </c>
      <c r="AP105">
        <v>4.988652828567198E-3</v>
      </c>
      <c r="AQ105">
        <f>RESULTADOS_R!$T$19+(RESULTADOS_R!$T$20*AL104)+(RESULTADOS_R!$T$21*AL103)+(RESULTADOS_R!$T$22*AL102)+(RESULTADOS_R!$T$23*AL101)</f>
        <v>-2.2497768556965286E-3</v>
      </c>
      <c r="AR105">
        <f t="shared" si="12"/>
        <v>5.0464349034885529E-3</v>
      </c>
      <c r="AS105" s="3"/>
      <c r="AT105" t="s">
        <v>130</v>
      </c>
      <c r="AU105" t="s">
        <v>103</v>
      </c>
      <c r="AV105">
        <v>-5.7600409060880988E-3</v>
      </c>
      <c r="AW105">
        <v>-3.4793719480179092E-2</v>
      </c>
      <c r="AX105">
        <v>8.6072603264025858E-3</v>
      </c>
      <c r="AY105">
        <f>RESULTADOS_R!$T$24+(RESULTADOS_R!$T$25*AV104)+(RESULTADOS_R!$T$26*AV103)</f>
        <v>1.7059673171082018E-3</v>
      </c>
      <c r="AZ105">
        <f t="shared" si="10"/>
        <v>-7.4660082231963005E-3</v>
      </c>
      <c r="BA105" s="3"/>
      <c r="BB105" t="s">
        <v>130</v>
      </c>
      <c r="BC105" t="s">
        <v>103</v>
      </c>
      <c r="BD105">
        <v>2.8287971739006574E-4</v>
      </c>
      <c r="BE105">
        <v>-3.9429881617532555E-3</v>
      </c>
      <c r="BF105">
        <f>RESULTADOS_R!$T$27+(RESULTADOS_R!$T$28*BD104)</f>
        <v>-6.8674009714449593E-4</v>
      </c>
      <c r="BG105">
        <f t="shared" si="8"/>
        <v>9.6961981453456167E-4</v>
      </c>
    </row>
    <row r="106" spans="1:59" x14ac:dyDescent="0.25">
      <c r="A106" t="s">
        <v>130</v>
      </c>
      <c r="B106" t="s">
        <v>104</v>
      </c>
      <c r="C106">
        <v>-4.515795462021259E-2</v>
      </c>
      <c r="D106">
        <v>-3.7792697834380211E-3</v>
      </c>
      <c r="E106">
        <v>-3.0754221824449209E-2</v>
      </c>
      <c r="F106">
        <v>-3.4099926244712302E-2</v>
      </c>
      <c r="G106">
        <v>-1.0549941391183914E-2</v>
      </c>
      <c r="H106">
        <f>RESULTADOS_R!$T$4+(RESULTADOS_R!$T$5*C105)+(RESULTADOS_R!$T$6*C104)+(RESULTADOS_R!$T$7*C103)+(RESULTADOS_R!$T$8*C102)</f>
        <v>1.4464772845470021E-2</v>
      </c>
      <c r="I106">
        <f t="shared" si="11"/>
        <v>-5.9622727465682611E-2</v>
      </c>
      <c r="J106" s="3"/>
      <c r="K106" t="s">
        <v>130</v>
      </c>
      <c r="L106" t="s">
        <v>104</v>
      </c>
      <c r="M106">
        <v>1.1713718101706661E-3</v>
      </c>
      <c r="N106">
        <v>7.0348226608537374E-4</v>
      </c>
      <c r="O106">
        <v>1.0561521840747742E-3</v>
      </c>
      <c r="P106">
        <v>1.6451237552884354E-3</v>
      </c>
      <c r="Q106">
        <v>8.2357790407262344E-4</v>
      </c>
      <c r="R106">
        <v>2.3543260850361804E-4</v>
      </c>
      <c r="S106">
        <f>RESULTADOS_R!$T$9+(RESULTADOS_R!$T$10*M105)+(RESULTADOS_R!$T$11*M104)+(RESULTADOS_R!$T$12*M103)+(RESULTADOS_R!$T$13*M102)+(RESULTADOS_R!$T$14*M101)</f>
        <v>-3.4116148926687943E-4</v>
      </c>
      <c r="T106">
        <f t="shared" si="13"/>
        <v>1.5125332994375454E-3</v>
      </c>
      <c r="U106" s="3"/>
      <c r="V106" t="s">
        <v>130</v>
      </c>
      <c r="W106" t="s">
        <v>104</v>
      </c>
      <c r="X106">
        <v>-4.0929700463859502E-3</v>
      </c>
      <c r="Y106">
        <v>-5.7407727205007635E-2</v>
      </c>
      <c r="Z106">
        <v>-3.2487228052061383E-2</v>
      </c>
      <c r="AA106">
        <f>RESULTADOS_R!$T$15+(RESULTADOS_R!$T$16*'EV1-ER-AR'!X105)+(RESULTADOS_R!$T$17*'EV1-ER-AR'!X104)</f>
        <v>-4.5957277382980277E-3</v>
      </c>
      <c r="AB106">
        <f t="shared" si="9"/>
        <v>5.0275769191207749E-4</v>
      </c>
      <c r="AC106" s="3"/>
      <c r="AD106" t="s">
        <v>130</v>
      </c>
      <c r="AE106" t="s">
        <v>104</v>
      </c>
      <c r="AF106">
        <v>4.7438193373388407E-3</v>
      </c>
      <c r="AG106">
        <f>RESULTADOS_R!$T$18</f>
        <v>4.3639999999999998E-3</v>
      </c>
      <c r="AH106">
        <f t="shared" si="7"/>
        <v>3.7981933733884088E-4</v>
      </c>
      <c r="AI106" s="3"/>
      <c r="AJ106" t="s">
        <v>130</v>
      </c>
      <c r="AK106" t="s">
        <v>104</v>
      </c>
      <c r="AL106">
        <v>1.4562917106487746E-3</v>
      </c>
      <c r="AM106">
        <v>2.7966580477920243E-3</v>
      </c>
      <c r="AN106">
        <v>-1.5376050025436261E-2</v>
      </c>
      <c r="AO106">
        <v>1.0301445042059378E-2</v>
      </c>
      <c r="AP106">
        <v>1.4708851320128832E-2</v>
      </c>
      <c r="AQ106">
        <f>RESULTADOS_R!$T$19+(RESULTADOS_R!$T$20*AL105)+(RESULTADOS_R!$T$21*AL104)+(RESULTADOS_R!$T$22*AL103)+(RESULTADOS_R!$T$23*AL102)</f>
        <v>-3.0774840692912109E-4</v>
      </c>
      <c r="AR106">
        <f t="shared" si="12"/>
        <v>1.7640401175778957E-3</v>
      </c>
      <c r="AS106" s="3"/>
      <c r="AT106" t="s">
        <v>130</v>
      </c>
      <c r="AU106" t="s">
        <v>104</v>
      </c>
      <c r="AV106">
        <v>-1.0388010153100209E-2</v>
      </c>
      <c r="AW106">
        <v>-5.7600409060880988E-3</v>
      </c>
      <c r="AX106">
        <v>-3.4793719480179092E-2</v>
      </c>
      <c r="AY106">
        <f>RESULTADOS_R!$T$24+(RESULTADOS_R!$T$25*AV105)+(RESULTADOS_R!$T$26*AV104)</f>
        <v>4.6107848183179322E-3</v>
      </c>
      <c r="AZ106">
        <f t="shared" si="10"/>
        <v>-1.4998794971418141E-2</v>
      </c>
      <c r="BA106" s="3"/>
      <c r="BB106" t="s">
        <v>130</v>
      </c>
      <c r="BC106" t="s">
        <v>104</v>
      </c>
      <c r="BD106">
        <v>-4.9416821237912379E-3</v>
      </c>
      <c r="BE106">
        <v>2.8287971739006574E-4</v>
      </c>
      <c r="BF106">
        <f>RESULTADOS_R!$T$27+(RESULTADOS_R!$T$28*BD105)</f>
        <v>1.1962725365850553E-4</v>
      </c>
      <c r="BG106">
        <f t="shared" si="8"/>
        <v>-5.0613093774497433E-3</v>
      </c>
    </row>
    <row r="107" spans="1:59" x14ac:dyDescent="0.25">
      <c r="A107" t="s">
        <v>130</v>
      </c>
      <c r="B107" t="s">
        <v>105</v>
      </c>
      <c r="C107">
        <v>-8.2926482299911976E-3</v>
      </c>
      <c r="D107">
        <v>-4.515795462021259E-2</v>
      </c>
      <c r="E107">
        <v>-3.7792697834380211E-3</v>
      </c>
      <c r="F107">
        <v>-3.0754221824449209E-2</v>
      </c>
      <c r="G107">
        <v>-3.4099926244712302E-2</v>
      </c>
      <c r="H107">
        <f>RESULTADOS_R!$T$4+(RESULTADOS_R!$T$5*C106)+(RESULTADOS_R!$T$6*C105)+(RESULTADOS_R!$T$7*C104)+(RESULTADOS_R!$T$8*C103)</f>
        <v>9.0285275199268739E-3</v>
      </c>
      <c r="I107">
        <f t="shared" si="11"/>
        <v>-1.7321175749918073E-2</v>
      </c>
      <c r="J107" s="3"/>
      <c r="K107" t="s">
        <v>130</v>
      </c>
      <c r="L107" t="s">
        <v>105</v>
      </c>
      <c r="M107">
        <v>3.6225572773441192E-3</v>
      </c>
      <c r="N107">
        <v>1.1713718101706661E-3</v>
      </c>
      <c r="O107">
        <v>7.0348226608537374E-4</v>
      </c>
      <c r="P107">
        <v>1.0561521840747742E-3</v>
      </c>
      <c r="Q107">
        <v>1.6451237552884354E-3</v>
      </c>
      <c r="R107">
        <v>8.2357790407262344E-4</v>
      </c>
      <c r="S107">
        <f>RESULTADOS_R!$T$9+(RESULTADOS_R!$T$10*M106)+(RESULTADOS_R!$T$11*M105)+(RESULTADOS_R!$T$12*M104)+(RESULTADOS_R!$T$13*M103)+(RESULTADOS_R!$T$14*M102)</f>
        <v>-3.3611972481917691E-4</v>
      </c>
      <c r="T107">
        <f t="shared" si="13"/>
        <v>3.9586770021632963E-3</v>
      </c>
      <c r="U107" s="3"/>
      <c r="V107" t="s">
        <v>130</v>
      </c>
      <c r="W107" t="s">
        <v>105</v>
      </c>
      <c r="X107">
        <v>-1.2836153188428921E-2</v>
      </c>
      <c r="Y107">
        <v>-4.0929700463859502E-3</v>
      </c>
      <c r="Z107">
        <v>-5.7407727205007635E-2</v>
      </c>
      <c r="AA107">
        <f>RESULTADOS_R!$T$15+(RESULTADOS_R!$T$16*'EV1-ER-AR'!X106)+(RESULTADOS_R!$T$17*'EV1-ER-AR'!X105)</f>
        <v>1.3563244015756704E-2</v>
      </c>
      <c r="AB107">
        <f t="shared" si="9"/>
        <v>-2.6399397204185625E-2</v>
      </c>
      <c r="AC107" s="3"/>
      <c r="AD107" t="s">
        <v>130</v>
      </c>
      <c r="AE107" t="s">
        <v>105</v>
      </c>
      <c r="AF107">
        <v>3.1338413448479307E-5</v>
      </c>
      <c r="AG107">
        <f>RESULTADOS_R!$T$18</f>
        <v>4.3639999999999998E-3</v>
      </c>
      <c r="AH107">
        <f t="shared" si="7"/>
        <v>-4.3326615865515207E-3</v>
      </c>
      <c r="AI107" s="3"/>
      <c r="AJ107" t="s">
        <v>130</v>
      </c>
      <c r="AK107" t="s">
        <v>105</v>
      </c>
      <c r="AL107">
        <v>-3.5468028762823449E-2</v>
      </c>
      <c r="AM107">
        <v>1.4562917106487746E-3</v>
      </c>
      <c r="AN107">
        <v>2.7966580477920243E-3</v>
      </c>
      <c r="AO107">
        <v>-1.5376050025436261E-2</v>
      </c>
      <c r="AP107">
        <v>1.0301445042059378E-2</v>
      </c>
      <c r="AQ107">
        <f>RESULTADOS_R!$T$19+(RESULTADOS_R!$T$20*AL106)+(RESULTADOS_R!$T$21*AL105)+(RESULTADOS_R!$T$22*AL104)+(RESULTADOS_R!$T$23*AL103)</f>
        <v>4.8891027360461106E-3</v>
      </c>
      <c r="AR107">
        <f t="shared" si="12"/>
        <v>-4.0357131498869561E-2</v>
      </c>
      <c r="AS107" s="3"/>
      <c r="AT107" t="s">
        <v>130</v>
      </c>
      <c r="AU107" t="s">
        <v>105</v>
      </c>
      <c r="AV107">
        <v>-6.0322717966103633E-2</v>
      </c>
      <c r="AW107">
        <v>-1.0388010153100209E-2</v>
      </c>
      <c r="AX107">
        <v>-5.7600409060880988E-3</v>
      </c>
      <c r="AY107">
        <f>RESULTADOS_R!$T$24+(RESULTADOS_R!$T$25*AV106)+(RESULTADOS_R!$T$26*AV105)</f>
        <v>1.9270979480114671E-3</v>
      </c>
      <c r="AZ107">
        <f t="shared" si="10"/>
        <v>-6.2249815914115103E-2</v>
      </c>
      <c r="BA107" s="3"/>
      <c r="BB107" t="s">
        <v>130</v>
      </c>
      <c r="BC107" t="s">
        <v>105</v>
      </c>
      <c r="BD107">
        <v>-3.8242520163431415E-3</v>
      </c>
      <c r="BE107">
        <v>-4.9416821237912379E-3</v>
      </c>
      <c r="BF107">
        <f>RESULTADOS_R!$T$27+(RESULTADOS_R!$T$28*BD106)</f>
        <v>-8.7730786392351229E-4</v>
      </c>
      <c r="BG107">
        <f t="shared" si="8"/>
        <v>-2.946944152419629E-3</v>
      </c>
    </row>
    <row r="108" spans="1:59" x14ac:dyDescent="0.25">
      <c r="A108" t="s">
        <v>130</v>
      </c>
      <c r="B108" t="s">
        <v>106</v>
      </c>
      <c r="C108">
        <v>4.5007927109818387E-2</v>
      </c>
      <c r="D108">
        <v>-8.2926482299911976E-3</v>
      </c>
      <c r="E108">
        <v>-4.515795462021259E-2</v>
      </c>
      <c r="F108">
        <v>-3.7792697834380211E-3</v>
      </c>
      <c r="G108">
        <v>-3.0754221824449209E-2</v>
      </c>
      <c r="H108">
        <f>RESULTADOS_R!$T$4+(RESULTADOS_R!$T$5*C107)+(RESULTADOS_R!$T$6*C106)+(RESULTADOS_R!$T$7*C105)+(RESULTADOS_R!$T$8*C104)</f>
        <v>5.484720615458673E-3</v>
      </c>
      <c r="I108">
        <f t="shared" si="11"/>
        <v>3.9523206494359711E-2</v>
      </c>
      <c r="J108" s="3"/>
      <c r="K108" t="s">
        <v>130</v>
      </c>
      <c r="L108" t="s">
        <v>106</v>
      </c>
      <c r="M108">
        <v>-1.8680682607012692E-3</v>
      </c>
      <c r="N108">
        <v>3.6225572773441192E-3</v>
      </c>
      <c r="O108">
        <v>1.1713718101706661E-3</v>
      </c>
      <c r="P108">
        <v>7.0348226608537374E-4</v>
      </c>
      <c r="Q108">
        <v>1.0561521840747742E-3</v>
      </c>
      <c r="R108">
        <v>1.6451237552884354E-3</v>
      </c>
      <c r="S108">
        <f>RESULTADOS_R!$T$9+(RESULTADOS_R!$T$10*M107)+(RESULTADOS_R!$T$11*M106)+(RESULTADOS_R!$T$12*M105)+(RESULTADOS_R!$T$13*M104)+(RESULTADOS_R!$T$14*M103)</f>
        <v>-6.7410677143707486E-4</v>
      </c>
      <c r="T108">
        <f t="shared" si="13"/>
        <v>-1.1939614892641944E-3</v>
      </c>
      <c r="U108" s="3"/>
      <c r="V108" t="s">
        <v>130</v>
      </c>
      <c r="W108" t="s">
        <v>106</v>
      </c>
      <c r="X108">
        <v>2.2485675223149072E-2</v>
      </c>
      <c r="Y108">
        <v>-1.2836153188428921E-2</v>
      </c>
      <c r="Z108">
        <v>-4.0929700463859502E-3</v>
      </c>
      <c r="AA108">
        <f>RESULTADOS_R!$T$15+(RESULTADOS_R!$T$16*'EV1-ER-AR'!X107)+(RESULTADOS_R!$T$17*'EV1-ER-AR'!X106)</f>
        <v>-4.670043679013457E-4</v>
      </c>
      <c r="AB108">
        <f t="shared" si="9"/>
        <v>2.2952679591050417E-2</v>
      </c>
      <c r="AC108" s="3"/>
      <c r="AD108" t="s">
        <v>130</v>
      </c>
      <c r="AE108" t="s">
        <v>106</v>
      </c>
      <c r="AF108">
        <v>1.6659156775757931E-2</v>
      </c>
      <c r="AG108">
        <f>RESULTADOS_R!$T$18</f>
        <v>4.3639999999999998E-3</v>
      </c>
      <c r="AH108">
        <f t="shared" si="7"/>
        <v>1.2295156775757932E-2</v>
      </c>
      <c r="AI108" s="3"/>
      <c r="AJ108" t="s">
        <v>130</v>
      </c>
      <c r="AK108" t="s">
        <v>106</v>
      </c>
      <c r="AL108">
        <v>3.5329161233046457E-3</v>
      </c>
      <c r="AM108">
        <v>-3.5468028762823449E-2</v>
      </c>
      <c r="AN108">
        <v>1.4562917106487746E-3</v>
      </c>
      <c r="AO108">
        <v>2.7966580477920243E-3</v>
      </c>
      <c r="AP108">
        <v>-1.5376050025436261E-2</v>
      </c>
      <c r="AQ108">
        <f>RESULTADOS_R!$T$19+(RESULTADOS_R!$T$20*AL107)+(RESULTADOS_R!$T$21*AL106)+(RESULTADOS_R!$T$22*AL105)+(RESULTADOS_R!$T$23*AL104)</f>
        <v>-3.806240136272948E-3</v>
      </c>
      <c r="AR108">
        <f t="shared" si="12"/>
        <v>7.3391562595775933E-3</v>
      </c>
      <c r="AS108" s="3"/>
      <c r="AT108" t="s">
        <v>130</v>
      </c>
      <c r="AU108" t="s">
        <v>106</v>
      </c>
      <c r="AV108">
        <v>3.9892714093170941E-3</v>
      </c>
      <c r="AW108">
        <v>-6.0322717966103633E-2</v>
      </c>
      <c r="AX108">
        <v>-1.0388010153100209E-2</v>
      </c>
      <c r="AY108">
        <f>RESULTADOS_R!$T$24+(RESULTADOS_R!$T$25*AV107)+(RESULTADOS_R!$T$26*AV106)</f>
        <v>4.8910468513079135E-3</v>
      </c>
      <c r="AZ108">
        <f t="shared" si="10"/>
        <v>-9.0177544199081944E-4</v>
      </c>
      <c r="BA108" s="3"/>
      <c r="BB108" t="s">
        <v>130</v>
      </c>
      <c r="BC108" t="s">
        <v>106</v>
      </c>
      <c r="BD108">
        <v>-7.8980624585144911E-3</v>
      </c>
      <c r="BE108">
        <v>-3.8242520163431415E-3</v>
      </c>
      <c r="BF108">
        <f>RESULTADOS_R!$T$27+(RESULTADOS_R!$T$28*BD107)</f>
        <v>-6.6408322434176087E-4</v>
      </c>
      <c r="BG108">
        <f t="shared" si="8"/>
        <v>-7.2339792341727304E-3</v>
      </c>
    </row>
    <row r="109" spans="1:59" x14ac:dyDescent="0.25">
      <c r="A109" t="s">
        <v>130</v>
      </c>
      <c r="B109" t="s">
        <v>107</v>
      </c>
      <c r="C109">
        <v>-2.8490833470137315E-2</v>
      </c>
      <c r="D109">
        <v>4.5007927109818387E-2</v>
      </c>
      <c r="E109">
        <v>-8.2926482299911976E-3</v>
      </c>
      <c r="F109">
        <v>-4.515795462021259E-2</v>
      </c>
      <c r="G109">
        <v>-3.7792697834380211E-3</v>
      </c>
      <c r="H109">
        <f>RESULTADOS_R!$T$4+(RESULTADOS_R!$T$5*C108)+(RESULTADOS_R!$T$6*C107)+(RESULTADOS_R!$T$7*C106)+(RESULTADOS_R!$T$8*C105)</f>
        <v>9.7543912890145374E-3</v>
      </c>
      <c r="I109">
        <f t="shared" si="11"/>
        <v>-3.8245224759151854E-2</v>
      </c>
      <c r="J109" s="3"/>
      <c r="K109" t="s">
        <v>130</v>
      </c>
      <c r="L109" t="s">
        <v>107</v>
      </c>
      <c r="M109">
        <v>3.907280083966902E-3</v>
      </c>
      <c r="N109">
        <v>-1.8680682607012692E-3</v>
      </c>
      <c r="O109">
        <v>3.6225572773441192E-3</v>
      </c>
      <c r="P109">
        <v>1.1713718101706661E-3</v>
      </c>
      <c r="Q109">
        <v>7.0348226608537374E-4</v>
      </c>
      <c r="R109">
        <v>1.0561521840747742E-3</v>
      </c>
      <c r="S109">
        <f>RESULTADOS_R!$T$9+(RESULTADOS_R!$T$10*M108)+(RESULTADOS_R!$T$11*M107)+(RESULTADOS_R!$T$12*M106)+(RESULTADOS_R!$T$13*M105)+(RESULTADOS_R!$T$14*M104)</f>
        <v>6.3357813249041416E-5</v>
      </c>
      <c r="T109">
        <f t="shared" si="13"/>
        <v>3.8439222707178605E-3</v>
      </c>
      <c r="U109" s="3"/>
      <c r="V109" t="s">
        <v>130</v>
      </c>
      <c r="W109" t="s">
        <v>107</v>
      </c>
      <c r="X109">
        <v>-9.2747719087840595E-3</v>
      </c>
      <c r="Y109">
        <v>2.2485675223149072E-2</v>
      </c>
      <c r="Z109">
        <v>-1.2836153188428921E-2</v>
      </c>
      <c r="AA109">
        <f>RESULTADOS_R!$T$15+(RESULTADOS_R!$T$16*'EV1-ER-AR'!X108)+(RESULTADOS_R!$T$17*'EV1-ER-AR'!X107)</f>
        <v>9.8197900268553826E-3</v>
      </c>
      <c r="AB109">
        <f t="shared" si="9"/>
        <v>-1.9094561935639444E-2</v>
      </c>
      <c r="AC109" s="3"/>
      <c r="AD109" t="s">
        <v>130</v>
      </c>
      <c r="AE109" t="s">
        <v>107</v>
      </c>
      <c r="AF109">
        <v>-2.6768623786103608E-2</v>
      </c>
      <c r="AG109">
        <f>RESULTADOS_R!$T$18</f>
        <v>4.3639999999999998E-3</v>
      </c>
      <c r="AH109">
        <f t="shared" si="7"/>
        <v>-3.1132623786103607E-2</v>
      </c>
      <c r="AI109" s="3"/>
      <c r="AJ109" t="s">
        <v>130</v>
      </c>
      <c r="AK109" t="s">
        <v>107</v>
      </c>
      <c r="AL109">
        <v>3.0362957732684891E-2</v>
      </c>
      <c r="AM109">
        <v>3.5329161233046457E-3</v>
      </c>
      <c r="AN109">
        <v>-3.5468028762823449E-2</v>
      </c>
      <c r="AO109">
        <v>1.4562917106487746E-3</v>
      </c>
      <c r="AP109">
        <v>2.7966580477920243E-3</v>
      </c>
      <c r="AQ109">
        <f>RESULTADOS_R!$T$19+(RESULTADOS_R!$T$20*AL108)+(RESULTADOS_R!$T$21*AL107)+(RESULTADOS_R!$T$22*AL106)+(RESULTADOS_R!$T$23*AL105)</f>
        <v>-6.0391121400728894E-4</v>
      </c>
      <c r="AR109">
        <f t="shared" si="12"/>
        <v>3.0966868946692181E-2</v>
      </c>
      <c r="AS109" s="3"/>
      <c r="AT109" t="s">
        <v>130</v>
      </c>
      <c r="AU109" t="s">
        <v>107</v>
      </c>
      <c r="AV109">
        <v>2.6655976446688542E-2</v>
      </c>
      <c r="AW109">
        <v>3.9892714093170941E-3</v>
      </c>
      <c r="AX109">
        <v>-6.0322717966103633E-2</v>
      </c>
      <c r="AY109">
        <f>RESULTADOS_R!$T$24+(RESULTADOS_R!$T$25*AV108)+(RESULTADOS_R!$T$26*AV107)</f>
        <v>6.6862363965074683E-3</v>
      </c>
      <c r="AZ109">
        <f t="shared" si="10"/>
        <v>1.9969740050181074E-2</v>
      </c>
      <c r="BA109" s="3"/>
      <c r="BB109" t="s">
        <v>130</v>
      </c>
      <c r="BC109" t="s">
        <v>107</v>
      </c>
      <c r="BD109">
        <v>-2.1283932502555677E-3</v>
      </c>
      <c r="BE109">
        <v>-7.8980624585144911E-3</v>
      </c>
      <c r="BF109">
        <f>RESULTADOS_R!$T$27+(RESULTADOS_R!$T$28*BD108)</f>
        <v>-1.4414354340831729E-3</v>
      </c>
      <c r="BG109">
        <f t="shared" si="8"/>
        <v>-6.8695781617239484E-4</v>
      </c>
    </row>
    <row r="110" spans="1:59" x14ac:dyDescent="0.25">
      <c r="A110" t="s">
        <v>130</v>
      </c>
      <c r="B110" t="s">
        <v>108</v>
      </c>
      <c r="C110">
        <v>4.1319972659452892E-2</v>
      </c>
      <c r="D110">
        <v>-2.8490833470137315E-2</v>
      </c>
      <c r="E110">
        <v>4.5007927109818387E-2</v>
      </c>
      <c r="F110">
        <v>-8.2926482299911976E-3</v>
      </c>
      <c r="G110">
        <v>-4.515795462021259E-2</v>
      </c>
      <c r="H110">
        <f>RESULTADOS_R!$T$4+(RESULTADOS_R!$T$5*C109)+(RESULTADOS_R!$T$6*C108)+(RESULTADOS_R!$T$7*C107)+(RESULTADOS_R!$T$8*C106)</f>
        <v>-8.7999868733937923E-3</v>
      </c>
      <c r="I110">
        <f t="shared" si="11"/>
        <v>5.0119959532846682E-2</v>
      </c>
      <c r="J110" s="3"/>
      <c r="K110" t="s">
        <v>130</v>
      </c>
      <c r="L110" t="s">
        <v>108</v>
      </c>
      <c r="M110">
        <v>1.7459624662432663E-4</v>
      </c>
      <c r="N110">
        <v>3.907280083966902E-3</v>
      </c>
      <c r="O110">
        <v>-1.8680682607012692E-3</v>
      </c>
      <c r="P110">
        <v>3.6225572773441192E-3</v>
      </c>
      <c r="Q110">
        <v>1.1713718101706661E-3</v>
      </c>
      <c r="R110">
        <v>7.0348226608537374E-4</v>
      </c>
      <c r="S110">
        <f>RESULTADOS_R!$T$9+(RESULTADOS_R!$T$10*M109)+(RESULTADOS_R!$T$11*M108)+(RESULTADOS_R!$T$12*M107)+(RESULTADOS_R!$T$13*M106)+(RESULTADOS_R!$T$14*M105)</f>
        <v>-1.2141457069188653E-3</v>
      </c>
      <c r="T110">
        <f t="shared" si="13"/>
        <v>1.3887419535431919E-3</v>
      </c>
      <c r="U110" s="3"/>
      <c r="V110" t="s">
        <v>130</v>
      </c>
      <c r="W110" t="s">
        <v>108</v>
      </c>
      <c r="X110">
        <v>-3.7098031652025463E-3</v>
      </c>
      <c r="Y110">
        <v>-9.2747719087840595E-3</v>
      </c>
      <c r="Z110">
        <v>2.2485675223149072E-2</v>
      </c>
      <c r="AA110">
        <f>RESULTADOS_R!$T$15+(RESULTADOS_R!$T$16*'EV1-ER-AR'!X109)+(RESULTADOS_R!$T$17*'EV1-ER-AR'!X108)</f>
        <v>-5.5949913250831918E-3</v>
      </c>
      <c r="AB110">
        <f t="shared" si="9"/>
        <v>1.8851881598806455E-3</v>
      </c>
      <c r="AC110" s="3"/>
      <c r="AD110" t="s">
        <v>130</v>
      </c>
      <c r="AE110" t="s">
        <v>108</v>
      </c>
      <c r="AF110">
        <v>1.7084294082821393E-4</v>
      </c>
      <c r="AG110">
        <f>RESULTADOS_R!$T$18</f>
        <v>4.3639999999999998E-3</v>
      </c>
      <c r="AH110">
        <f t="shared" si="7"/>
        <v>-4.1931570591717858E-3</v>
      </c>
      <c r="AI110" s="3"/>
      <c r="AJ110" t="s">
        <v>130</v>
      </c>
      <c r="AK110" t="s">
        <v>108</v>
      </c>
      <c r="AL110">
        <v>-2.4056672976811347E-3</v>
      </c>
      <c r="AM110">
        <v>3.0362957732684891E-2</v>
      </c>
      <c r="AN110">
        <v>3.5329161233046457E-3</v>
      </c>
      <c r="AO110">
        <v>-3.5468028762823449E-2</v>
      </c>
      <c r="AP110">
        <v>1.4562917106487746E-3</v>
      </c>
      <c r="AQ110">
        <f>RESULTADOS_R!$T$19+(RESULTADOS_R!$T$20*AL109)+(RESULTADOS_R!$T$21*AL108)+(RESULTADOS_R!$T$22*AL107)+(RESULTADOS_R!$T$23*AL106)</f>
        <v>1.0084792074250313E-2</v>
      </c>
      <c r="AR110">
        <f t="shared" si="12"/>
        <v>-1.2490459371931448E-2</v>
      </c>
      <c r="AS110" s="3"/>
      <c r="AT110" t="s">
        <v>130</v>
      </c>
      <c r="AU110" t="s">
        <v>108</v>
      </c>
      <c r="AV110">
        <v>0</v>
      </c>
      <c r="AW110">
        <v>2.6655976446688542E-2</v>
      </c>
      <c r="AX110">
        <v>3.9892714093170941E-3</v>
      </c>
      <c r="AY110">
        <f>RESULTADOS_R!$T$24+(RESULTADOS_R!$T$25*AV109)+(RESULTADOS_R!$T$26*AV108)</f>
        <v>-9.0590874299347987E-4</v>
      </c>
      <c r="AZ110">
        <f t="shared" si="10"/>
        <v>9.0590874299347987E-4</v>
      </c>
      <c r="BA110" s="3"/>
      <c r="BB110" t="s">
        <v>130</v>
      </c>
      <c r="BC110" t="s">
        <v>108</v>
      </c>
      <c r="BD110">
        <v>1.8818550561318674E-3</v>
      </c>
      <c r="BE110">
        <v>-2.1283932502555677E-3</v>
      </c>
      <c r="BF110">
        <f>RESULTADOS_R!$T$27+(RESULTADOS_R!$T$28*BD109)</f>
        <v>-3.404845743945449E-4</v>
      </c>
      <c r="BG110">
        <f t="shared" si="8"/>
        <v>2.2223396305264122E-3</v>
      </c>
    </row>
    <row r="111" spans="1:59" x14ac:dyDescent="0.25">
      <c r="A111" t="s">
        <v>130</v>
      </c>
      <c r="B111" t="s">
        <v>109</v>
      </c>
      <c r="C111">
        <v>-3.4517563936062777E-2</v>
      </c>
      <c r="D111">
        <v>4.1319972659452892E-2</v>
      </c>
      <c r="E111">
        <v>-2.8490833470137315E-2</v>
      </c>
      <c r="F111">
        <v>4.5007927109818387E-2</v>
      </c>
      <c r="G111">
        <v>-8.2926482299911976E-3</v>
      </c>
      <c r="H111">
        <f>RESULTADOS_R!$T$4+(RESULTADOS_R!$T$5*C110)+(RESULTADOS_R!$T$6*C109)+(RESULTADOS_R!$T$7*C108)+(RESULTADOS_R!$T$8*C107)</f>
        <v>-1.1008653019902602E-2</v>
      </c>
      <c r="I111">
        <f t="shared" si="11"/>
        <v>-2.3508910916160176E-2</v>
      </c>
      <c r="J111" s="3"/>
      <c r="K111" t="s">
        <v>130</v>
      </c>
      <c r="L111" t="s">
        <v>109</v>
      </c>
      <c r="M111">
        <v>2.0927806731305776E-3</v>
      </c>
      <c r="N111">
        <v>1.7459624662432663E-4</v>
      </c>
      <c r="O111">
        <v>3.907280083966902E-3</v>
      </c>
      <c r="P111">
        <v>-1.8680682607012692E-3</v>
      </c>
      <c r="Q111">
        <v>3.6225572773441192E-3</v>
      </c>
      <c r="R111">
        <v>1.1713718101706661E-3</v>
      </c>
      <c r="S111">
        <f>RESULTADOS_R!$T$9+(RESULTADOS_R!$T$10*M110)+(RESULTADOS_R!$T$11*M109)+(RESULTADOS_R!$T$12*M108)+(RESULTADOS_R!$T$13*M107)+(RESULTADOS_R!$T$14*M106)</f>
        <v>4.3671703064164231E-4</v>
      </c>
      <c r="T111">
        <f t="shared" si="13"/>
        <v>1.6560636424889353E-3</v>
      </c>
      <c r="U111" s="3"/>
      <c r="V111" t="s">
        <v>130</v>
      </c>
      <c r="W111" t="s">
        <v>109</v>
      </c>
      <c r="X111">
        <v>3.6284875377857809E-2</v>
      </c>
      <c r="Y111">
        <v>-3.7098031652025463E-3</v>
      </c>
      <c r="Z111">
        <v>-9.2747719087840595E-3</v>
      </c>
      <c r="AA111">
        <f>RESULTADOS_R!$T$15+(RESULTADOS_R!$T$16*'EV1-ER-AR'!X110)+(RESULTADOS_R!$T$17*'EV1-ER-AR'!X109)</f>
        <v>2.847065781054699E-3</v>
      </c>
      <c r="AB111">
        <f t="shared" si="9"/>
        <v>3.3437809596803113E-2</v>
      </c>
      <c r="AC111" s="3"/>
      <c r="AD111" t="s">
        <v>130</v>
      </c>
      <c r="AE111" t="s">
        <v>109</v>
      </c>
      <c r="AF111">
        <v>2.0936671828127487E-2</v>
      </c>
      <c r="AG111">
        <f>RESULTADOS_R!$T$18</f>
        <v>4.3639999999999998E-3</v>
      </c>
      <c r="AH111">
        <f t="shared" si="7"/>
        <v>1.6572671828127487E-2</v>
      </c>
      <c r="AI111" s="3"/>
      <c r="AJ111" t="s">
        <v>130</v>
      </c>
      <c r="AK111" t="s">
        <v>109</v>
      </c>
      <c r="AL111">
        <v>2.1038508394201245E-2</v>
      </c>
      <c r="AM111">
        <v>-2.4056672976811347E-3</v>
      </c>
      <c r="AN111">
        <v>3.0362957732684891E-2</v>
      </c>
      <c r="AO111">
        <v>3.5329161233046457E-3</v>
      </c>
      <c r="AP111">
        <v>-3.5468028762823449E-2</v>
      </c>
      <c r="AQ111">
        <f>RESULTADOS_R!$T$19+(RESULTADOS_R!$T$20*AL110)+(RESULTADOS_R!$T$21*AL109)+(RESULTADOS_R!$T$22*AL108)+(RESULTADOS_R!$T$23*AL107)</f>
        <v>-2.0262217208048688E-3</v>
      </c>
      <c r="AR111">
        <f t="shared" si="12"/>
        <v>2.3064730115006114E-2</v>
      </c>
      <c r="AS111" s="3"/>
      <c r="AT111" t="s">
        <v>130</v>
      </c>
      <c r="AU111" t="s">
        <v>109</v>
      </c>
      <c r="AV111">
        <v>1.3298837223988296E-2</v>
      </c>
      <c r="AW111">
        <v>0</v>
      </c>
      <c r="AX111">
        <v>2.6655976446688542E-2</v>
      </c>
      <c r="AY111">
        <f>RESULTADOS_R!$T$24+(RESULTADOS_R!$T$25*AV110)+(RESULTADOS_R!$T$26*AV109)</f>
        <v>-1.8477692445743111E-3</v>
      </c>
      <c r="AZ111">
        <f t="shared" si="10"/>
        <v>1.5146606468562607E-2</v>
      </c>
      <c r="BA111" s="3"/>
      <c r="BB111" t="s">
        <v>130</v>
      </c>
      <c r="BC111" t="s">
        <v>109</v>
      </c>
      <c r="BD111">
        <v>-5.3153259735997148E-3</v>
      </c>
      <c r="BE111">
        <v>1.8818550561318674E-3</v>
      </c>
      <c r="BF111">
        <f>RESULTADOS_R!$T$27+(RESULTADOS_R!$T$28*BD110)</f>
        <v>4.2473890049066844E-4</v>
      </c>
      <c r="BG111">
        <f t="shared" si="8"/>
        <v>-5.740064874090383E-3</v>
      </c>
    </row>
    <row r="112" spans="1:59" x14ac:dyDescent="0.25">
      <c r="A112" t="s">
        <v>131</v>
      </c>
      <c r="B112" t="s">
        <v>110</v>
      </c>
      <c r="C112">
        <v>-1.7177681686256413E-2</v>
      </c>
      <c r="D112">
        <v>-3.4517563936062777E-2</v>
      </c>
      <c r="E112">
        <v>4.1319972659452892E-2</v>
      </c>
      <c r="F112">
        <v>-2.8490833470137315E-2</v>
      </c>
      <c r="G112">
        <v>4.5007927109818387E-2</v>
      </c>
      <c r="H112">
        <f>RESULTADOS_R!$T$4+(RESULTADOS_R!$T$5*C111)+(RESULTADOS_R!$T$6*C110)+(RESULTADOS_R!$T$7*C109)+(RESULTADOS_R!$T$8*C108)</f>
        <v>1.5116943761806254E-2</v>
      </c>
      <c r="I112">
        <f t="shared" si="11"/>
        <v>-3.2294625448062664E-2</v>
      </c>
      <c r="J112" s="3"/>
      <c r="K112" t="s">
        <v>131</v>
      </c>
      <c r="L112" t="s">
        <v>110</v>
      </c>
      <c r="M112">
        <v>1.1607662359622872E-3</v>
      </c>
      <c r="N112">
        <v>2.0927806731305776E-3</v>
      </c>
      <c r="O112">
        <v>1.7459624662432663E-4</v>
      </c>
      <c r="P112">
        <v>3.907280083966902E-3</v>
      </c>
      <c r="Q112">
        <v>-1.8680682607012692E-3</v>
      </c>
      <c r="R112">
        <v>3.6225572773441192E-3</v>
      </c>
      <c r="S112">
        <f>RESULTADOS_R!$T$9+(RESULTADOS_R!$T$10*M111)+(RESULTADOS_R!$T$11*M110)+(RESULTADOS_R!$T$12*M109)+(RESULTADOS_R!$T$13*M108)+(RESULTADOS_R!$T$14*M107)</f>
        <v>-1.3670199503173143E-3</v>
      </c>
      <c r="T112">
        <f t="shared" si="13"/>
        <v>2.5277861862796017E-3</v>
      </c>
      <c r="U112" s="3"/>
      <c r="V112" t="s">
        <v>131</v>
      </c>
      <c r="W112" t="s">
        <v>110</v>
      </c>
      <c r="X112">
        <v>4.8109581090545507E-3</v>
      </c>
      <c r="Y112">
        <v>3.6284875377857809E-2</v>
      </c>
      <c r="Z112">
        <v>-3.7098031652025463E-3</v>
      </c>
      <c r="AA112">
        <f>RESULTADOS_R!$T$15+(RESULTADOS_R!$T$16*'EV1-ER-AR'!X111)+(RESULTADOS_R!$T$17*'EV1-ER-AR'!X110)</f>
        <v>1.1022683914948957E-2</v>
      </c>
      <c r="AB112">
        <f t="shared" si="9"/>
        <v>-6.2117258058944063E-3</v>
      </c>
      <c r="AC112" s="3"/>
      <c r="AD112" t="s">
        <v>131</v>
      </c>
      <c r="AE112" t="s">
        <v>110</v>
      </c>
      <c r="AF112">
        <v>6.0328388790086993E-2</v>
      </c>
      <c r="AG112">
        <f>RESULTADOS_R!$T$18</f>
        <v>4.3639999999999998E-3</v>
      </c>
      <c r="AH112">
        <f t="shared" si="7"/>
        <v>5.5964388790086993E-2</v>
      </c>
      <c r="AI112" s="3"/>
      <c r="AJ112" t="s">
        <v>131</v>
      </c>
      <c r="AK112" t="s">
        <v>110</v>
      </c>
      <c r="AL112">
        <v>2.1645288942755891E-3</v>
      </c>
      <c r="AM112">
        <v>2.1038508394201245E-2</v>
      </c>
      <c r="AN112">
        <v>-2.4056672976811347E-3</v>
      </c>
      <c r="AO112">
        <v>3.0362957732684891E-2</v>
      </c>
      <c r="AP112">
        <v>3.5329161233046457E-3</v>
      </c>
      <c r="AQ112">
        <f>RESULTADOS_R!$T$19+(RESULTADOS_R!$T$20*AL111)+(RESULTADOS_R!$T$21*AL110)+(RESULTADOS_R!$T$22*AL109)+(RESULTADOS_R!$T$23*AL108)</f>
        <v>-3.2064844556950224E-3</v>
      </c>
      <c r="AR112">
        <f t="shared" si="12"/>
        <v>5.3710133499706115E-3</v>
      </c>
      <c r="AS112" s="3"/>
      <c r="AT112" t="s">
        <v>131</v>
      </c>
      <c r="AU112" t="s">
        <v>110</v>
      </c>
      <c r="AV112">
        <v>-5.587089383158726E-3</v>
      </c>
      <c r="AW112">
        <v>1.3298837223988296E-2</v>
      </c>
      <c r="AX112">
        <v>0</v>
      </c>
      <c r="AY112">
        <f>RESULTADOS_R!$T$24+(RESULTADOS_R!$T$25*AV111)+(RESULTADOS_R!$T$26*AV110)</f>
        <v>1.631892072882186E-4</v>
      </c>
      <c r="AZ112">
        <f t="shared" si="10"/>
        <v>-5.750278590446945E-3</v>
      </c>
      <c r="BA112" s="3"/>
      <c r="BB112" t="s">
        <v>131</v>
      </c>
      <c r="BC112" t="s">
        <v>110</v>
      </c>
      <c r="BD112">
        <v>-9.0159400173080214E-3</v>
      </c>
      <c r="BE112">
        <v>-5.3153259735997148E-3</v>
      </c>
      <c r="BF112">
        <f>RESULTADOS_R!$T$27+(RESULTADOS_R!$T$28*BD111)</f>
        <v>-9.4860545531318325E-4</v>
      </c>
      <c r="BG112">
        <f t="shared" si="8"/>
        <v>-8.0673345619948385E-3</v>
      </c>
    </row>
    <row r="113" spans="1:59" x14ac:dyDescent="0.25">
      <c r="A113" t="s">
        <v>131</v>
      </c>
      <c r="B113" t="s">
        <v>111</v>
      </c>
      <c r="C113">
        <v>-7.9005924187132759E-2</v>
      </c>
      <c r="D113">
        <v>-1.7177681686256413E-2</v>
      </c>
      <c r="E113">
        <v>-3.4517563936062777E-2</v>
      </c>
      <c r="F113">
        <v>4.1319972659452892E-2</v>
      </c>
      <c r="G113">
        <v>-2.8490833470137315E-2</v>
      </c>
      <c r="H113">
        <f>RESULTADOS_R!$T$4+(RESULTADOS_R!$T$5*C112)+(RESULTADOS_R!$T$6*C111)+(RESULTADOS_R!$T$7*C110)+(RESULTADOS_R!$T$8*C109)</f>
        <v>-6.6932188740371733E-3</v>
      </c>
      <c r="I113">
        <f t="shared" si="11"/>
        <v>-7.2312705313095582E-2</v>
      </c>
      <c r="J113" s="3"/>
      <c r="K113" t="s">
        <v>131</v>
      </c>
      <c r="L113" t="s">
        <v>111</v>
      </c>
      <c r="M113">
        <v>5.4376254766061154E-3</v>
      </c>
      <c r="N113">
        <v>1.1607662359622872E-3</v>
      </c>
      <c r="O113">
        <v>2.0927806731305776E-3</v>
      </c>
      <c r="P113">
        <v>1.7459624662432663E-4</v>
      </c>
      <c r="Q113">
        <v>3.907280083966902E-3</v>
      </c>
      <c r="R113">
        <v>-1.8680682607012692E-3</v>
      </c>
      <c r="S113">
        <f>RESULTADOS_R!$T$9+(RESULTADOS_R!$T$10*M112)+(RESULTADOS_R!$T$11*M111)+(RESULTADOS_R!$T$12*M110)+(RESULTADOS_R!$T$13*M109)+(RESULTADOS_R!$T$14*M108)</f>
        <v>2.0771253132150403E-4</v>
      </c>
      <c r="T113">
        <f t="shared" si="13"/>
        <v>5.2299129452846116E-3</v>
      </c>
      <c r="U113" s="3"/>
      <c r="V113" t="s">
        <v>131</v>
      </c>
      <c r="W113" t="s">
        <v>111</v>
      </c>
      <c r="X113">
        <v>-0.14089759524012405</v>
      </c>
      <c r="Y113">
        <v>4.8109581090545507E-3</v>
      </c>
      <c r="Z113">
        <v>3.6284875377857809E-2</v>
      </c>
      <c r="AA113">
        <f>RESULTADOS_R!$T$15+(RESULTADOS_R!$T$16*'EV1-ER-AR'!X112)+(RESULTADOS_R!$T$17*'EV1-ER-AR'!X111)</f>
        <v>-5.3736902706035209E-3</v>
      </c>
      <c r="AB113">
        <f t="shared" si="9"/>
        <v>-0.13552390496952052</v>
      </c>
      <c r="AC113" s="3"/>
      <c r="AD113" t="s">
        <v>131</v>
      </c>
      <c r="AE113" t="s">
        <v>111</v>
      </c>
      <c r="AF113">
        <v>-0.18702082995810015</v>
      </c>
      <c r="AG113">
        <f>RESULTADOS_R!$T$18</f>
        <v>4.3639999999999998E-3</v>
      </c>
      <c r="AH113">
        <f t="shared" si="7"/>
        <v>-0.19138482995810016</v>
      </c>
      <c r="AI113" s="3"/>
      <c r="AJ113" t="s">
        <v>131</v>
      </c>
      <c r="AK113" t="s">
        <v>111</v>
      </c>
      <c r="AL113">
        <v>3.5594758592416907E-3</v>
      </c>
      <c r="AM113">
        <v>2.1645288942755891E-3</v>
      </c>
      <c r="AN113">
        <v>2.1038508394201245E-2</v>
      </c>
      <c r="AO113">
        <v>-2.4056672976811347E-3</v>
      </c>
      <c r="AP113">
        <v>3.0362957732684891E-2</v>
      </c>
      <c r="AQ113">
        <f>RESULTADOS_R!$T$19+(RESULTADOS_R!$T$20*AL112)+(RESULTADOS_R!$T$21*AL111)+(RESULTADOS_R!$T$22*AL110)+(RESULTADOS_R!$T$23*AL109)</f>
        <v>5.188715430731035E-3</v>
      </c>
      <c r="AR113">
        <f t="shared" si="12"/>
        <v>-1.6292395714893443E-3</v>
      </c>
      <c r="AS113" s="3"/>
      <c r="AT113" t="s">
        <v>131</v>
      </c>
      <c r="AU113" t="s">
        <v>111</v>
      </c>
      <c r="AV113">
        <v>-2.0010585150804103E-2</v>
      </c>
      <c r="AW113">
        <v>-5.587089383158726E-3</v>
      </c>
      <c r="AX113">
        <v>1.3298837223988296E-2</v>
      </c>
      <c r="AY113">
        <f>RESULTADOS_R!$T$24+(RESULTADOS_R!$T$25*AV112)+(RESULTADOS_R!$T$26*AV111)</f>
        <v>-2.2692202404631405E-4</v>
      </c>
      <c r="AZ113">
        <f t="shared" si="10"/>
        <v>-1.9783663126757788E-2</v>
      </c>
      <c r="BA113" s="3"/>
      <c r="BB113" t="s">
        <v>131</v>
      </c>
      <c r="BC113" t="s">
        <v>111</v>
      </c>
      <c r="BD113">
        <v>-1.1066627305357329E-2</v>
      </c>
      <c r="BE113">
        <v>-9.0159400173080214E-3</v>
      </c>
      <c r="BF113">
        <f>RESULTADOS_R!$T$27+(RESULTADOS_R!$T$28*BD112)</f>
        <v>-1.6547454549798043E-3</v>
      </c>
      <c r="BG113">
        <f t="shared" si="8"/>
        <v>-9.411881850377524E-3</v>
      </c>
    </row>
    <row r="114" spans="1:59" x14ac:dyDescent="0.25">
      <c r="A114" t="s">
        <v>131</v>
      </c>
      <c r="B114" t="s">
        <v>112</v>
      </c>
      <c r="C114">
        <v>4.8190108308079661E-2</v>
      </c>
      <c r="D114">
        <v>-7.9005924187132759E-2</v>
      </c>
      <c r="E114">
        <v>-1.7177681686256413E-2</v>
      </c>
      <c r="F114">
        <v>-3.4517563936062777E-2</v>
      </c>
      <c r="G114">
        <v>4.1319972659452892E-2</v>
      </c>
      <c r="H114">
        <f>RESULTADOS_R!$T$4+(RESULTADOS_R!$T$5*C113)+(RESULTADOS_R!$T$6*C112)+(RESULTADOS_R!$T$7*C111)+(RESULTADOS_R!$T$8*C110)</f>
        <v>3.0371004416303651E-2</v>
      </c>
      <c r="I114">
        <f t="shared" si="11"/>
        <v>1.781910389177601E-2</v>
      </c>
      <c r="J114" s="3"/>
      <c r="K114" t="s">
        <v>131</v>
      </c>
      <c r="L114" t="s">
        <v>112</v>
      </c>
      <c r="M114">
        <v>-4.3940866260373983E-3</v>
      </c>
      <c r="N114">
        <v>5.4376254766061154E-3</v>
      </c>
      <c r="O114">
        <v>1.1607662359622872E-3</v>
      </c>
      <c r="P114">
        <v>2.0927806731305776E-3</v>
      </c>
      <c r="Q114">
        <v>1.7459624662432663E-4</v>
      </c>
      <c r="R114">
        <v>3.907280083966902E-3</v>
      </c>
      <c r="S114">
        <f>RESULTADOS_R!$T$9+(RESULTADOS_R!$T$10*M113)+(RESULTADOS_R!$T$11*M112)+(RESULTADOS_R!$T$12*M111)+(RESULTADOS_R!$T$13*M110)+(RESULTADOS_R!$T$14*M109)</f>
        <v>-1.3986040894279443E-3</v>
      </c>
      <c r="T114">
        <f t="shared" si="13"/>
        <v>-2.9954825366094538E-3</v>
      </c>
      <c r="U114" s="3"/>
      <c r="V114" t="s">
        <v>131</v>
      </c>
      <c r="W114" t="s">
        <v>112</v>
      </c>
      <c r="X114">
        <v>-1.7577192754574739E-3</v>
      </c>
      <c r="Y114">
        <v>-0.14089759524012405</v>
      </c>
      <c r="Z114">
        <v>4.8109581090545507E-3</v>
      </c>
      <c r="AA114">
        <f>RESULTADOS_R!$T$15+(RESULTADOS_R!$T$16*'EV1-ER-AR'!X113)+(RESULTADOS_R!$T$17*'EV1-ER-AR'!X112)</f>
        <v>-3.2644627239440074E-2</v>
      </c>
      <c r="AB114">
        <f t="shared" si="9"/>
        <v>3.08869079639826E-2</v>
      </c>
      <c r="AC114" s="3"/>
      <c r="AD114" t="s">
        <v>131</v>
      </c>
      <c r="AE114" t="s">
        <v>112</v>
      </c>
      <c r="AF114">
        <v>-6.0537434506753897E-3</v>
      </c>
      <c r="AG114">
        <f>RESULTADOS_R!$T$18</f>
        <v>4.3639999999999998E-3</v>
      </c>
      <c r="AH114">
        <f t="shared" si="7"/>
        <v>-1.041774345067539E-2</v>
      </c>
      <c r="AI114" s="3"/>
      <c r="AJ114" t="s">
        <v>131</v>
      </c>
      <c r="AK114" t="s">
        <v>112</v>
      </c>
      <c r="AL114">
        <v>-1.8525500068434165E-2</v>
      </c>
      <c r="AM114">
        <v>3.5594758592416907E-3</v>
      </c>
      <c r="AN114">
        <v>2.1645288942755891E-3</v>
      </c>
      <c r="AO114">
        <v>2.1038508394201245E-2</v>
      </c>
      <c r="AP114">
        <v>-2.4056672976811347E-3</v>
      </c>
      <c r="AQ114">
        <f>RESULTADOS_R!$T$19+(RESULTADOS_R!$T$20*AL113)+(RESULTADOS_R!$T$21*AL112)+(RESULTADOS_R!$T$22*AL111)+(RESULTADOS_R!$T$23*AL110)</f>
        <v>-3.0947749289232615E-3</v>
      </c>
      <c r="AR114">
        <f t="shared" si="12"/>
        <v>-1.5430725139510904E-2</v>
      </c>
      <c r="AS114" s="3"/>
      <c r="AT114" t="s">
        <v>131</v>
      </c>
      <c r="AU114" t="s">
        <v>112</v>
      </c>
      <c r="AV114">
        <v>-6.5031266724255342E-3</v>
      </c>
      <c r="AW114">
        <v>-2.0010585150804103E-2</v>
      </c>
      <c r="AX114">
        <v>-5.587089383158726E-3</v>
      </c>
      <c r="AY114">
        <f>RESULTADOS_R!$T$24+(RESULTADOS_R!$T$25*AV113)+(RESULTADOS_R!$T$26*AV112)</f>
        <v>2.3913443742792713E-3</v>
      </c>
      <c r="AZ114">
        <f t="shared" si="10"/>
        <v>-8.894471046704806E-3</v>
      </c>
      <c r="BA114" s="3"/>
      <c r="BB114" t="s">
        <v>131</v>
      </c>
      <c r="BC114" t="s">
        <v>112</v>
      </c>
      <c r="BD114">
        <v>1.5880402098788129E-2</v>
      </c>
      <c r="BE114">
        <v>-1.1066627305357329E-2</v>
      </c>
      <c r="BF114">
        <f>RESULTADOS_R!$T$27+(RESULTADOS_R!$T$28*BD113)</f>
        <v>-2.0460514122604503E-3</v>
      </c>
      <c r="BG114">
        <f t="shared" si="8"/>
        <v>1.792645351104858E-2</v>
      </c>
    </row>
    <row r="115" spans="1:59" x14ac:dyDescent="0.25">
      <c r="A115" t="s">
        <v>131</v>
      </c>
      <c r="B115" t="s">
        <v>113</v>
      </c>
      <c r="C115">
        <v>-5.00851526069803E-2</v>
      </c>
      <c r="D115">
        <v>4.8190108308079661E-2</v>
      </c>
      <c r="E115">
        <v>-7.9005924187132759E-2</v>
      </c>
      <c r="F115">
        <v>-1.7177681686256413E-2</v>
      </c>
      <c r="G115">
        <v>-3.4517563936062777E-2</v>
      </c>
      <c r="H115">
        <f>RESULTADOS_R!$T$4+(RESULTADOS_R!$T$5*C114)+(RESULTADOS_R!$T$6*C113)+(RESULTADOS_R!$T$7*C112)+(RESULTADOS_R!$T$8*C111)</f>
        <v>7.8083190436101912E-3</v>
      </c>
      <c r="I115">
        <f t="shared" si="11"/>
        <v>-5.7893471650590493E-2</v>
      </c>
      <c r="J115" s="3"/>
      <c r="K115" t="s">
        <v>131</v>
      </c>
      <c r="L115" t="s">
        <v>113</v>
      </c>
      <c r="M115">
        <v>-1.1595548609083981E-3</v>
      </c>
      <c r="N115">
        <v>-4.3940866260373983E-3</v>
      </c>
      <c r="O115">
        <v>5.4376254766061154E-3</v>
      </c>
      <c r="P115">
        <v>1.1607662359622872E-3</v>
      </c>
      <c r="Q115">
        <v>2.0927806731305776E-3</v>
      </c>
      <c r="R115">
        <v>1.7459624662432663E-4</v>
      </c>
      <c r="S115">
        <f>RESULTADOS_R!$T$9+(RESULTADOS_R!$T$10*M114)+(RESULTADOS_R!$T$11*M113)+(RESULTADOS_R!$T$12*M112)+(RESULTADOS_R!$T$13*M111)+(RESULTADOS_R!$T$14*M110)</f>
        <v>5.8073705032920316E-4</v>
      </c>
      <c r="T115">
        <f t="shared" si="13"/>
        <v>-1.7402919112376011E-3</v>
      </c>
      <c r="U115" s="3"/>
      <c r="V115" t="s">
        <v>131</v>
      </c>
      <c r="W115" t="s">
        <v>113</v>
      </c>
      <c r="X115">
        <v>2.149950986968747E-4</v>
      </c>
      <c r="Y115">
        <v>-1.7577192754574739E-3</v>
      </c>
      <c r="Z115">
        <v>-0.14089759524012405</v>
      </c>
      <c r="AA115">
        <f>RESULTADOS_R!$T$15+(RESULTADOS_R!$T$16*'EV1-ER-AR'!X114)+(RESULTADOS_R!$T$17*'EV1-ER-AR'!X113)</f>
        <v>3.2858122948849482E-2</v>
      </c>
      <c r="AB115">
        <f t="shared" si="9"/>
        <v>-3.2643127850152609E-2</v>
      </c>
      <c r="AC115" s="3"/>
      <c r="AD115" t="s">
        <v>131</v>
      </c>
      <c r="AE115" t="s">
        <v>113</v>
      </c>
      <c r="AF115">
        <v>-2.9821145879572714E-2</v>
      </c>
      <c r="AG115">
        <f>RESULTADOS_R!$T$18</f>
        <v>4.3639999999999998E-3</v>
      </c>
      <c r="AH115">
        <f t="shared" si="7"/>
        <v>-3.4185145879572713E-2</v>
      </c>
      <c r="AI115" s="3"/>
      <c r="AJ115" t="s">
        <v>131</v>
      </c>
      <c r="AK115" t="s">
        <v>113</v>
      </c>
      <c r="AL115">
        <v>-8.7261810754396055E-3</v>
      </c>
      <c r="AM115">
        <v>-1.8525500068434165E-2</v>
      </c>
      <c r="AN115">
        <v>3.5594758592416907E-3</v>
      </c>
      <c r="AO115">
        <v>2.1645288942755891E-3</v>
      </c>
      <c r="AP115">
        <v>2.1038508394201245E-2</v>
      </c>
      <c r="AQ115">
        <f>RESULTADOS_R!$T$19+(RESULTADOS_R!$T$20*AL114)+(RESULTADOS_R!$T$21*AL113)+(RESULTADOS_R!$T$22*AL112)+(RESULTADOS_R!$T$23*AL111)</f>
        <v>1.0945126101471565E-3</v>
      </c>
      <c r="AR115">
        <f t="shared" si="12"/>
        <v>-9.8206936855867628E-3</v>
      </c>
      <c r="AS115" s="3"/>
      <c r="AT115" t="s">
        <v>131</v>
      </c>
      <c r="AU115" t="s">
        <v>113</v>
      </c>
      <c r="AV115">
        <v>-6.3666058623140353E-3</v>
      </c>
      <c r="AW115">
        <v>-6.5031266724255342E-3</v>
      </c>
      <c r="AX115">
        <v>-2.0010585150804103E-2</v>
      </c>
      <c r="AY115">
        <f>RESULTADOS_R!$T$24+(RESULTADOS_R!$T$25*AV114)+(RESULTADOS_R!$T$26*AV113)</f>
        <v>3.163578312821381E-3</v>
      </c>
      <c r="AZ115">
        <f t="shared" si="10"/>
        <v>-9.5301841751354172E-3</v>
      </c>
      <c r="BA115" s="3"/>
      <c r="BB115" t="s">
        <v>131</v>
      </c>
      <c r="BC115" t="s">
        <v>113</v>
      </c>
      <c r="BD115">
        <v>9.6412528655694487E-4</v>
      </c>
      <c r="BE115">
        <v>1.5880402098788129E-2</v>
      </c>
      <c r="BF115">
        <f>RESULTADOS_R!$T$27+(RESULTADOS_R!$T$28*BD114)</f>
        <v>3.0958993855568144E-3</v>
      </c>
      <c r="BG115">
        <f t="shared" si="8"/>
        <v>-2.1317740989998694E-3</v>
      </c>
    </row>
    <row r="116" spans="1:59" x14ac:dyDescent="0.25">
      <c r="A116" t="s">
        <v>132</v>
      </c>
      <c r="B116" t="s">
        <v>114</v>
      </c>
      <c r="C116">
        <v>-9.9968272416051746E-2</v>
      </c>
      <c r="D116">
        <v>-5.00851526069803E-2</v>
      </c>
      <c r="E116">
        <v>4.8190108308079661E-2</v>
      </c>
      <c r="F116">
        <v>-7.9005924187132759E-2</v>
      </c>
      <c r="G116">
        <v>-1.7177681686256413E-2</v>
      </c>
      <c r="H116">
        <f>RESULTADOS_R!$T$4+(RESULTADOS_R!$T$5*C115)+(RESULTADOS_R!$T$6*C114)+(RESULTADOS_R!$T$7*C113)+(RESULTADOS_R!$T$8*C112)</f>
        <v>1.6894203428492707E-2</v>
      </c>
      <c r="I116">
        <f t="shared" si="11"/>
        <v>-0.11686247584454446</v>
      </c>
      <c r="J116" s="3"/>
      <c r="K116" t="s">
        <v>132</v>
      </c>
      <c r="L116" t="s">
        <v>114</v>
      </c>
      <c r="M116">
        <v>-2.3207240763243602E-4</v>
      </c>
      <c r="N116">
        <v>-1.1595548609083981E-3</v>
      </c>
      <c r="O116">
        <v>-4.3940866260373983E-3</v>
      </c>
      <c r="P116">
        <v>5.4376254766061154E-3</v>
      </c>
      <c r="Q116">
        <v>1.1607662359622872E-3</v>
      </c>
      <c r="R116">
        <v>2.0927806731305776E-3</v>
      </c>
      <c r="S116">
        <f>RESULTADOS_R!$T$9+(RESULTADOS_R!$T$10*M115)+(RESULTADOS_R!$T$11*M114)+(RESULTADOS_R!$T$12*M113)+(RESULTADOS_R!$T$13*M112)+(RESULTADOS_R!$T$14*M111)</f>
        <v>-1.0983490386584378E-3</v>
      </c>
      <c r="T116">
        <f t="shared" si="13"/>
        <v>8.6627663102600177E-4</v>
      </c>
      <c r="U116" s="3"/>
      <c r="V116" t="s">
        <v>132</v>
      </c>
      <c r="W116" t="s">
        <v>114</v>
      </c>
      <c r="X116">
        <v>-0.46473020666317</v>
      </c>
      <c r="Y116">
        <v>2.149950986968747E-4</v>
      </c>
      <c r="Z116">
        <v>-1.7577192754574739E-3</v>
      </c>
      <c r="AA116">
        <f>RESULTADOS_R!$T$15+(RESULTADOS_R!$T$16*'EV1-ER-AR'!X115)+(RESULTADOS_R!$T$17*'EV1-ER-AR'!X114)</f>
        <v>2.0842959276643931E-3</v>
      </c>
      <c r="AB116">
        <f t="shared" si="9"/>
        <v>-0.4668145025908344</v>
      </c>
      <c r="AC116" s="3"/>
      <c r="AD116" t="s">
        <v>132</v>
      </c>
      <c r="AE116" t="s">
        <v>114</v>
      </c>
      <c r="AF116">
        <v>-0.55073172062806997</v>
      </c>
      <c r="AG116">
        <f>RESULTADOS_R!$T$18</f>
        <v>4.3639999999999998E-3</v>
      </c>
      <c r="AH116">
        <f t="shared" si="7"/>
        <v>-0.55509572062807</v>
      </c>
      <c r="AI116" s="3"/>
      <c r="AJ116" t="s">
        <v>132</v>
      </c>
      <c r="AK116" t="s">
        <v>114</v>
      </c>
      <c r="AL116">
        <v>-3.607977606547691E-2</v>
      </c>
      <c r="AM116">
        <v>-8.7261810754396055E-3</v>
      </c>
      <c r="AN116">
        <v>-1.8525500068434165E-2</v>
      </c>
      <c r="AO116">
        <v>3.5594758592416907E-3</v>
      </c>
      <c r="AP116">
        <v>2.1645288942755891E-3</v>
      </c>
      <c r="AQ116">
        <f>RESULTADOS_R!$T$19+(RESULTADOS_R!$T$20*AL115)+(RESULTADOS_R!$T$21*AL114)+(RESULTADOS_R!$T$22*AL113)+(RESULTADOS_R!$T$23*AL112)</f>
        <v>-1.2107404815999E-3</v>
      </c>
      <c r="AR116">
        <f t="shared" si="12"/>
        <v>-3.4869035583877009E-2</v>
      </c>
      <c r="AS116" s="3"/>
      <c r="AT116" t="s">
        <v>132</v>
      </c>
      <c r="AU116" t="s">
        <v>114</v>
      </c>
      <c r="AV116">
        <v>-5.7302384371887526E-2</v>
      </c>
      <c r="AW116">
        <v>-6.3666058623140353E-3</v>
      </c>
      <c r="AX116">
        <v>-6.5031266724255342E-3</v>
      </c>
      <c r="AY116">
        <f>RESULTADOS_R!$T$24+(RESULTADOS_R!$T$25*AV115)+(RESULTADOS_R!$T$26*AV114)</f>
        <v>1.8004398875714998E-3</v>
      </c>
      <c r="AZ116">
        <f t="shared" si="10"/>
        <v>-5.9102824259459022E-2</v>
      </c>
      <c r="BA116" s="3"/>
      <c r="BB116" t="s">
        <v>132</v>
      </c>
      <c r="BC116" t="s">
        <v>114</v>
      </c>
      <c r="BD116">
        <v>9.9085744302777994E-3</v>
      </c>
      <c r="BE116">
        <v>9.6412528655694487E-4</v>
      </c>
      <c r="BF116">
        <f>RESULTADOS_R!$T$27+(RESULTADOS_R!$T$28*BD115)</f>
        <v>2.4962047648655609E-4</v>
      </c>
      <c r="BG116">
        <f t="shared" si="8"/>
        <v>9.6589539537912435E-3</v>
      </c>
    </row>
    <row r="117" spans="1:59" x14ac:dyDescent="0.25">
      <c r="A117" t="s">
        <v>132</v>
      </c>
      <c r="B117" t="s">
        <v>115</v>
      </c>
      <c r="C117">
        <v>8.8817104117436416E-2</v>
      </c>
      <c r="D117">
        <v>-9.9968272416051746E-2</v>
      </c>
      <c r="E117">
        <v>-5.00851526069803E-2</v>
      </c>
      <c r="F117">
        <v>4.8190108308079661E-2</v>
      </c>
      <c r="G117">
        <v>-7.9005924187132759E-2</v>
      </c>
      <c r="H117">
        <f>RESULTADOS_R!$T$4+(RESULTADOS_R!$T$5*C116)+(RESULTADOS_R!$T$6*C115)+(RESULTADOS_R!$T$7*C114)+(RESULTADOS_R!$T$8*C113)</f>
        <v>-6.8187455241800581E-3</v>
      </c>
      <c r="I117">
        <f t="shared" si="11"/>
        <v>9.5635849641616477E-2</v>
      </c>
      <c r="J117" s="3"/>
      <c r="K117" t="s">
        <v>132</v>
      </c>
      <c r="L117" t="s">
        <v>115</v>
      </c>
      <c r="M117">
        <v>1.2757322692802484E-3</v>
      </c>
      <c r="N117">
        <v>-2.3207240763243602E-4</v>
      </c>
      <c r="O117">
        <v>-1.1595548609083981E-3</v>
      </c>
      <c r="P117">
        <v>-4.3940866260373983E-3</v>
      </c>
      <c r="Q117">
        <v>5.4376254766061154E-3</v>
      </c>
      <c r="R117">
        <v>1.1607662359622872E-3</v>
      </c>
      <c r="S117">
        <f>RESULTADOS_R!$T$9+(RESULTADOS_R!$T$10*M116)+(RESULTADOS_R!$T$11*M115)+(RESULTADOS_R!$T$12*M114)+(RESULTADOS_R!$T$13*M113)+(RESULTADOS_R!$T$14*M112)</f>
        <v>8.365892791207558E-4</v>
      </c>
      <c r="T117">
        <f t="shared" si="13"/>
        <v>4.391429901594926E-4</v>
      </c>
      <c r="U117" s="3"/>
      <c r="V117" t="s">
        <v>132</v>
      </c>
      <c r="W117" t="s">
        <v>115</v>
      </c>
      <c r="X117">
        <v>0.11268623430835654</v>
      </c>
      <c r="Y117">
        <v>-0.46473020666317</v>
      </c>
      <c r="Z117">
        <v>2.149950986968747E-4</v>
      </c>
      <c r="AA117">
        <f>RESULTADOS_R!$T$15+(RESULTADOS_R!$T$16*'EV1-ER-AR'!X116)+(RESULTADOS_R!$T$17*'EV1-ER-AR'!X115)</f>
        <v>-0.10792619550621639</v>
      </c>
      <c r="AB117">
        <f t="shared" si="9"/>
        <v>0.22061242981457294</v>
      </c>
      <c r="AC117" s="3"/>
      <c r="AD117" t="s">
        <v>132</v>
      </c>
      <c r="AE117" t="s">
        <v>115</v>
      </c>
      <c r="AF117">
        <v>0.17027192829193374</v>
      </c>
      <c r="AG117">
        <f>RESULTADOS_R!$T$18</f>
        <v>4.3639999999999998E-3</v>
      </c>
      <c r="AH117">
        <f t="shared" si="7"/>
        <v>0.16590792829193374</v>
      </c>
      <c r="AI117" s="3"/>
      <c r="AJ117" t="s">
        <v>132</v>
      </c>
      <c r="AK117" t="s">
        <v>115</v>
      </c>
      <c r="AL117">
        <v>-3.0509738992176391E-2</v>
      </c>
      <c r="AM117">
        <v>-3.607977606547691E-2</v>
      </c>
      <c r="AN117">
        <v>-8.7261810754396055E-3</v>
      </c>
      <c r="AO117">
        <v>-1.8525500068434165E-2</v>
      </c>
      <c r="AP117">
        <v>3.5594758592416907E-3</v>
      </c>
      <c r="AQ117">
        <f>RESULTADOS_R!$T$19+(RESULTADOS_R!$T$20*AL116)+(RESULTADOS_R!$T$21*AL115)+(RESULTADOS_R!$T$22*AL114)+(RESULTADOS_R!$T$23*AL113)</f>
        <v>1.5107285920751331E-3</v>
      </c>
      <c r="AR117">
        <f t="shared" si="12"/>
        <v>-3.2020467584251526E-2</v>
      </c>
      <c r="AS117" s="3"/>
      <c r="AT117" t="s">
        <v>132</v>
      </c>
      <c r="AU117" t="s">
        <v>115</v>
      </c>
      <c r="AV117">
        <v>-7.4788939153138348E-2</v>
      </c>
      <c r="AW117">
        <v>-5.7302384371887526E-2</v>
      </c>
      <c r="AX117">
        <v>-6.3666058623140353E-3</v>
      </c>
      <c r="AY117">
        <f>RESULTADOS_R!$T$24+(RESULTADOS_R!$T$25*AV116)+(RESULTADOS_R!$T$26*AV115)</f>
        <v>4.336082609732614E-3</v>
      </c>
      <c r="AZ117">
        <f t="shared" si="10"/>
        <v>-7.9125021762870965E-2</v>
      </c>
      <c r="BA117" s="3"/>
      <c r="BB117" t="s">
        <v>132</v>
      </c>
      <c r="BC117" t="s">
        <v>115</v>
      </c>
      <c r="BD117">
        <v>1.3057158143172676E-2</v>
      </c>
      <c r="BE117">
        <v>9.9085744302777994E-3</v>
      </c>
      <c r="BF117">
        <f>RESULTADOS_R!$T$27+(RESULTADOS_R!$T$28*BD116)</f>
        <v>1.9563732587994046E-3</v>
      </c>
      <c r="BG117">
        <f t="shared" si="8"/>
        <v>1.1100784884373271E-2</v>
      </c>
    </row>
    <row r="118" spans="1:59" x14ac:dyDescent="0.25">
      <c r="A118" t="s">
        <v>132</v>
      </c>
      <c r="B118" t="s">
        <v>116</v>
      </c>
      <c r="C118">
        <v>-0.12765733657068626</v>
      </c>
      <c r="D118">
        <v>8.8817104117436416E-2</v>
      </c>
      <c r="E118">
        <v>-9.9968272416051746E-2</v>
      </c>
      <c r="F118">
        <v>-5.00851526069803E-2</v>
      </c>
      <c r="G118">
        <v>4.8190108308079661E-2</v>
      </c>
      <c r="H118">
        <f>RESULTADOS_R!$T$4+(RESULTADOS_R!$T$5*C117)+(RESULTADOS_R!$T$6*C116)+(RESULTADOS_R!$T$7*C115)+(RESULTADOS_R!$T$8*C114)</f>
        <v>3.1477012551424072E-2</v>
      </c>
      <c r="I118">
        <f t="shared" si="11"/>
        <v>-0.15913434912211033</v>
      </c>
      <c r="J118" s="3"/>
      <c r="K118" t="s">
        <v>132</v>
      </c>
      <c r="L118" t="s">
        <v>116</v>
      </c>
      <c r="M118">
        <v>1.6213089828314314E-3</v>
      </c>
      <c r="N118">
        <v>1.2757322692802484E-3</v>
      </c>
      <c r="O118">
        <v>-2.3207240763243602E-4</v>
      </c>
      <c r="P118">
        <v>-1.1595548609083981E-3</v>
      </c>
      <c r="Q118">
        <v>-4.3940866260373983E-3</v>
      </c>
      <c r="R118">
        <v>5.4376254766061154E-3</v>
      </c>
      <c r="S118">
        <f>RESULTADOS_R!$T$9+(RESULTADOS_R!$T$10*M117)+(RESULTADOS_R!$T$11*M116)+(RESULTADOS_R!$T$12*M115)+(RESULTADOS_R!$T$13*M114)+(RESULTADOS_R!$T$14*M113)</f>
        <v>-6.7057918409988738E-4</v>
      </c>
      <c r="T118">
        <f t="shared" si="13"/>
        <v>2.2918881669313188E-3</v>
      </c>
      <c r="U118" s="3"/>
      <c r="V118" t="s">
        <v>132</v>
      </c>
      <c r="W118" t="s">
        <v>116</v>
      </c>
      <c r="X118">
        <v>-0.10393487063687459</v>
      </c>
      <c r="Y118">
        <v>0.11268623430835654</v>
      </c>
      <c r="Z118">
        <v>-0.46473020666317</v>
      </c>
      <c r="AA118">
        <f>RESULTADOS_R!$T$15+(RESULTADOS_R!$T$16*'EV1-ER-AR'!X117)+(RESULTADOS_R!$T$17*'EV1-ER-AR'!X116)</f>
        <v>0.13253227280697266</v>
      </c>
      <c r="AB118">
        <f t="shared" si="9"/>
        <v>-0.23646714344384726</v>
      </c>
      <c r="AC118" s="3"/>
      <c r="AD118" t="s">
        <v>132</v>
      </c>
      <c r="AE118" t="s">
        <v>116</v>
      </c>
      <c r="AF118">
        <v>-0.185892109698545</v>
      </c>
      <c r="AG118">
        <f>RESULTADOS_R!$T$18</f>
        <v>4.3639999999999998E-3</v>
      </c>
      <c r="AH118">
        <f t="shared" si="7"/>
        <v>-0.19025610969854501</v>
      </c>
      <c r="AI118" s="3"/>
      <c r="AJ118" t="s">
        <v>132</v>
      </c>
      <c r="AK118" t="s">
        <v>116</v>
      </c>
      <c r="AL118">
        <v>-9.9136576680184923E-3</v>
      </c>
      <c r="AM118">
        <v>-3.0509738992176391E-2</v>
      </c>
      <c r="AN118">
        <v>-3.607977606547691E-2</v>
      </c>
      <c r="AO118">
        <v>-8.7261810754396055E-3</v>
      </c>
      <c r="AP118">
        <v>-1.8525500068434165E-2</v>
      </c>
      <c r="AQ118">
        <f>RESULTADOS_R!$T$19+(RESULTADOS_R!$T$20*AL117)+(RESULTADOS_R!$T$21*AL116)+(RESULTADOS_R!$T$22*AL115)+(RESULTADOS_R!$T$23*AL114)</f>
        <v>-3.2511507468079488E-3</v>
      </c>
      <c r="AR118">
        <f t="shared" si="12"/>
        <v>-6.6625069212105439E-3</v>
      </c>
      <c r="AS118" s="3"/>
      <c r="AT118" t="s">
        <v>132</v>
      </c>
      <c r="AU118" t="s">
        <v>116</v>
      </c>
      <c r="AV118">
        <v>-0.12925871181874304</v>
      </c>
      <c r="AW118">
        <v>-7.4788939153138348E-2</v>
      </c>
      <c r="AX118">
        <v>-5.7302384371887526E-2</v>
      </c>
      <c r="AY118">
        <f>RESULTADOS_R!$T$24+(RESULTADOS_R!$T$25*AV117)+(RESULTADOS_R!$T$26*AV116)</f>
        <v>1.0325832939892542E-2</v>
      </c>
      <c r="AZ118">
        <f t="shared" si="10"/>
        <v>-0.13958454475863558</v>
      </c>
      <c r="BA118" s="3"/>
      <c r="BB118" t="s">
        <v>132</v>
      </c>
      <c r="BC118" t="s">
        <v>116</v>
      </c>
      <c r="BD118">
        <v>-6.9099645936425858E-3</v>
      </c>
      <c r="BE118">
        <v>1.3057158143172676E-2</v>
      </c>
      <c r="BF118">
        <f>RESULTADOS_R!$T$27+(RESULTADOS_R!$T$28*BD117)</f>
        <v>2.5571764973197761E-3</v>
      </c>
      <c r="BG118">
        <f t="shared" si="8"/>
        <v>-9.467141090962361E-3</v>
      </c>
    </row>
    <row r="119" spans="1:59" x14ac:dyDescent="0.25">
      <c r="A119" t="s">
        <v>132</v>
      </c>
      <c r="B119" t="s">
        <v>117</v>
      </c>
      <c r="C119">
        <v>5.8242813256478829E-2</v>
      </c>
      <c r="D119">
        <v>-0.12765733657068626</v>
      </c>
      <c r="E119">
        <v>8.8817104117436416E-2</v>
      </c>
      <c r="F119">
        <v>-9.9968272416051746E-2</v>
      </c>
      <c r="G119">
        <v>-5.00851526069803E-2</v>
      </c>
      <c r="H119">
        <f>RESULTADOS_R!$T$4+(RESULTADOS_R!$T$5*C118)+(RESULTADOS_R!$T$6*C117)+(RESULTADOS_R!$T$7*C116)+(RESULTADOS_R!$T$8*C115)</f>
        <v>1.7639126674994558E-2</v>
      </c>
      <c r="I119">
        <f t="shared" si="11"/>
        <v>4.060368658148427E-2</v>
      </c>
      <c r="J119" s="3"/>
      <c r="K119" t="s">
        <v>132</v>
      </c>
      <c r="L119" t="s">
        <v>117</v>
      </c>
      <c r="M119">
        <v>-2.316961184798566E-3</v>
      </c>
      <c r="N119">
        <v>1.6213089828314314E-3</v>
      </c>
      <c r="O119">
        <v>1.2757322692802484E-3</v>
      </c>
      <c r="P119">
        <v>-2.3207240763243602E-4</v>
      </c>
      <c r="Q119">
        <v>-1.1595548609083981E-3</v>
      </c>
      <c r="R119">
        <v>-4.3940866260373983E-3</v>
      </c>
      <c r="S119">
        <f>RESULTADOS_R!$T$9+(RESULTADOS_R!$T$10*M118)+(RESULTADOS_R!$T$11*M117)+(RESULTADOS_R!$T$12*M116)+(RESULTADOS_R!$T$13*M115)+(RESULTADOS_R!$T$14*M114)</f>
        <v>2.4963707872599538E-4</v>
      </c>
      <c r="T119">
        <f t="shared" si="13"/>
        <v>-2.5665982635245613E-3</v>
      </c>
      <c r="U119" s="3"/>
      <c r="V119" t="s">
        <v>132</v>
      </c>
      <c r="W119" t="s">
        <v>117</v>
      </c>
      <c r="X119">
        <v>4.1245487621826796E-2</v>
      </c>
      <c r="Y119">
        <v>-0.10393487063687459</v>
      </c>
      <c r="Z119">
        <v>0.11268623430835654</v>
      </c>
      <c r="AA119">
        <f>RESULTADOS_R!$T$15+(RESULTADOS_R!$T$16*'EV1-ER-AR'!X118)+(RESULTADOS_R!$T$17*'EV1-ER-AR'!X117)</f>
        <v>-4.8153504332946004E-2</v>
      </c>
      <c r="AB119">
        <f t="shared" si="9"/>
        <v>8.93989919547728E-2</v>
      </c>
      <c r="AC119" s="3"/>
      <c r="AD119" t="s">
        <v>132</v>
      </c>
      <c r="AE119" t="s">
        <v>117</v>
      </c>
      <c r="AF119">
        <v>2.9722915095853703E-2</v>
      </c>
      <c r="AG119">
        <f>RESULTADOS_R!$T$18</f>
        <v>4.3639999999999998E-3</v>
      </c>
      <c r="AH119">
        <f t="shared" si="7"/>
        <v>2.5358915095853703E-2</v>
      </c>
      <c r="AI119" s="3"/>
      <c r="AJ119" t="s">
        <v>132</v>
      </c>
      <c r="AK119" t="s">
        <v>117</v>
      </c>
      <c r="AL119">
        <v>9.1812197943966778E-3</v>
      </c>
      <c r="AM119">
        <v>-9.9136576680184923E-3</v>
      </c>
      <c r="AN119">
        <v>-3.0509738992176391E-2</v>
      </c>
      <c r="AO119">
        <v>-3.607977606547691E-2</v>
      </c>
      <c r="AP119">
        <v>-8.7261810754396055E-3</v>
      </c>
      <c r="AQ119">
        <f>RESULTADOS_R!$T$19+(RESULTADOS_R!$T$20*AL118)+(RESULTADOS_R!$T$21*AL117)+(RESULTADOS_R!$T$22*AL116)+(RESULTADOS_R!$T$23*AL115)</f>
        <v>4.6682035906685966E-3</v>
      </c>
      <c r="AR119">
        <f t="shared" si="12"/>
        <v>4.5130162037280812E-3</v>
      </c>
      <c r="AS119" s="3"/>
      <c r="AT119" t="s">
        <v>132</v>
      </c>
      <c r="AU119" t="s">
        <v>117</v>
      </c>
      <c r="AV119">
        <v>-2.4324463311370653E-2</v>
      </c>
      <c r="AW119">
        <v>-0.12925871181874304</v>
      </c>
      <c r="AX119">
        <v>-7.4788939153138348E-2</v>
      </c>
      <c r="AY119">
        <f>RESULTADOS_R!$T$24+(RESULTADOS_R!$T$25*AV118)+(RESULTADOS_R!$T$26*AV117)</f>
        <v>1.4807914346810901E-2</v>
      </c>
      <c r="AZ119">
        <f t="shared" si="10"/>
        <v>-3.9132377658181554E-2</v>
      </c>
      <c r="BA119" s="3"/>
      <c r="BB119" t="s">
        <v>132</v>
      </c>
      <c r="BC119" t="s">
        <v>117</v>
      </c>
      <c r="BD119">
        <v>1.5239816513672112E-2</v>
      </c>
      <c r="BE119">
        <v>-6.9099645936425858E-3</v>
      </c>
      <c r="BF119">
        <f>RESULTADOS_R!$T$27+(RESULTADOS_R!$T$28*BD118)</f>
        <v>-1.2528895825757698E-3</v>
      </c>
      <c r="BG119">
        <f t="shared" si="8"/>
        <v>1.6492706096247881E-2</v>
      </c>
    </row>
    <row r="120" spans="1:59" x14ac:dyDescent="0.25">
      <c r="A120" t="s">
        <v>132</v>
      </c>
      <c r="B120" t="s">
        <v>118</v>
      </c>
      <c r="C120">
        <v>-5.3226290048630311E-2</v>
      </c>
      <c r="D120">
        <v>5.8242813256478829E-2</v>
      </c>
      <c r="E120">
        <v>-0.12765733657068626</v>
      </c>
      <c r="F120">
        <v>8.8817104117436416E-2</v>
      </c>
      <c r="G120">
        <v>-9.9968272416051746E-2</v>
      </c>
      <c r="H120">
        <f>RESULTADOS_R!$T$4+(RESULTADOS_R!$T$5*C119)+(RESULTADOS_R!$T$6*C118)+(RESULTADOS_R!$T$7*C117)+(RESULTADOS_R!$T$8*C116)</f>
        <v>-2.5625698056858333E-2</v>
      </c>
      <c r="I120">
        <f t="shared" si="11"/>
        <v>-2.7600591991771978E-2</v>
      </c>
      <c r="J120" s="3"/>
      <c r="K120" t="s">
        <v>132</v>
      </c>
      <c r="L120" t="s">
        <v>118</v>
      </c>
      <c r="M120">
        <v>-1.2766206109147472E-3</v>
      </c>
      <c r="N120">
        <v>-2.316961184798566E-3</v>
      </c>
      <c r="O120">
        <v>1.6213089828314314E-3</v>
      </c>
      <c r="P120">
        <v>1.2757322692802484E-3</v>
      </c>
      <c r="Q120">
        <v>-2.3207240763243602E-4</v>
      </c>
      <c r="R120">
        <v>-1.1595548609083981E-3</v>
      </c>
      <c r="S120">
        <f>RESULTADOS_R!$T$9+(RESULTADOS_R!$T$10*M119)+(RESULTADOS_R!$T$11*M118)+(RESULTADOS_R!$T$12*M117)+(RESULTADOS_R!$T$13*M116)+(RESULTADOS_R!$T$14*M115)</f>
        <v>2.2037852158549661E-4</v>
      </c>
      <c r="T120">
        <f t="shared" si="13"/>
        <v>-1.4969991325002438E-3</v>
      </c>
      <c r="U120" s="3"/>
      <c r="V120" t="s">
        <v>132</v>
      </c>
      <c r="W120" t="s">
        <v>118</v>
      </c>
      <c r="X120">
        <v>2.4482621349108734E-3</v>
      </c>
      <c r="Y120">
        <v>4.1245487621826796E-2</v>
      </c>
      <c r="Z120">
        <v>-0.10393487063687459</v>
      </c>
      <c r="AA120">
        <f>RESULTADOS_R!$T$15+(RESULTADOS_R!$T$16*'EV1-ER-AR'!X119)+(RESULTADOS_R!$T$17*'EV1-ER-AR'!X118)</f>
        <v>3.4693517487793459E-2</v>
      </c>
      <c r="AB120">
        <f t="shared" si="9"/>
        <v>-3.2245255352882585E-2</v>
      </c>
      <c r="AC120" s="3"/>
      <c r="AD120" t="s">
        <v>132</v>
      </c>
      <c r="AE120" t="s">
        <v>118</v>
      </c>
      <c r="AF120">
        <v>7.8635168798080364E-3</v>
      </c>
      <c r="AG120">
        <f>RESULTADOS_R!$T$18</f>
        <v>4.3639999999999998E-3</v>
      </c>
      <c r="AH120">
        <f t="shared" si="7"/>
        <v>3.4995168798080366E-3</v>
      </c>
      <c r="AI120" s="3"/>
      <c r="AJ120" t="s">
        <v>132</v>
      </c>
      <c r="AK120" t="s">
        <v>118</v>
      </c>
      <c r="AL120">
        <v>-2.8049389700748613E-2</v>
      </c>
      <c r="AM120">
        <v>9.1812197943966778E-3</v>
      </c>
      <c r="AN120">
        <v>-9.9136576680184923E-3</v>
      </c>
      <c r="AO120">
        <v>-3.0509738992176391E-2</v>
      </c>
      <c r="AP120">
        <v>-3.607977606547691E-2</v>
      </c>
      <c r="AQ120">
        <f>RESULTADOS_R!$T$19+(RESULTADOS_R!$T$20*AL119)+(RESULTADOS_R!$T$21*AL118)+(RESULTADOS_R!$T$22*AL117)+(RESULTADOS_R!$T$23*AL116)</f>
        <v>3.4205240809183036E-3</v>
      </c>
      <c r="AR120">
        <f t="shared" si="12"/>
        <v>-3.1469913781666914E-2</v>
      </c>
      <c r="AS120" s="3"/>
      <c r="AT120" t="s">
        <v>132</v>
      </c>
      <c r="AU120" t="s">
        <v>118</v>
      </c>
      <c r="AV120">
        <v>-4.9664255368952512E-2</v>
      </c>
      <c r="AW120">
        <v>-2.4324463311370653E-2</v>
      </c>
      <c r="AX120">
        <v>-0.12925871181874304</v>
      </c>
      <c r="AY120">
        <f>RESULTADOS_R!$T$24+(RESULTADOS_R!$T$25*AV119)+(RESULTADOS_R!$T$26*AV118)</f>
        <v>1.5025320753731993E-2</v>
      </c>
      <c r="AZ120">
        <f t="shared" si="10"/>
        <v>-6.46895761226845E-2</v>
      </c>
      <c r="BA120" s="3"/>
      <c r="BB120" t="s">
        <v>132</v>
      </c>
      <c r="BC120" t="s">
        <v>118</v>
      </c>
      <c r="BD120">
        <v>1.5792292734056423E-2</v>
      </c>
      <c r="BE120">
        <v>1.5239816513672112E-2</v>
      </c>
      <c r="BF120">
        <f>RESULTADOS_R!$T$27+(RESULTADOS_R!$T$28*BD119)</f>
        <v>2.9736647781328576E-3</v>
      </c>
      <c r="BG120">
        <f t="shared" si="8"/>
        <v>1.2818627955923565E-2</v>
      </c>
    </row>
    <row r="121" spans="1:59" x14ac:dyDescent="0.25">
      <c r="A121" t="s">
        <v>132</v>
      </c>
      <c r="B121" t="s">
        <v>119</v>
      </c>
      <c r="C121">
        <v>4.7009966969245786E-3</v>
      </c>
      <c r="D121">
        <v>-5.3226290048630311E-2</v>
      </c>
      <c r="E121">
        <v>5.8242813256478829E-2</v>
      </c>
      <c r="F121">
        <v>-0.12765733657068626</v>
      </c>
      <c r="G121">
        <v>8.8817104117436416E-2</v>
      </c>
      <c r="H121">
        <f>RESULTADOS_R!$T$4+(RESULTADOS_R!$T$5*C120)+(RESULTADOS_R!$T$6*C119)+(RESULTADOS_R!$T$7*C118)+(RESULTADOS_R!$T$8*C117)</f>
        <v>4.8742037883915956E-2</v>
      </c>
      <c r="I121">
        <f t="shared" si="11"/>
        <v>-4.4041041186991377E-2</v>
      </c>
      <c r="J121" s="3"/>
      <c r="K121" t="s">
        <v>132</v>
      </c>
      <c r="L121" t="s">
        <v>119</v>
      </c>
      <c r="M121">
        <v>1.7404425116234218E-3</v>
      </c>
      <c r="N121">
        <v>-1.2766206109147472E-3</v>
      </c>
      <c r="O121">
        <v>-2.316961184798566E-3</v>
      </c>
      <c r="P121">
        <v>1.6213089828314314E-3</v>
      </c>
      <c r="Q121">
        <v>1.2757322692802484E-3</v>
      </c>
      <c r="R121">
        <v>-2.3207240763243602E-4</v>
      </c>
      <c r="S121">
        <f>RESULTADOS_R!$T$9+(RESULTADOS_R!$T$10*M120)+(RESULTADOS_R!$T$11*M119)+(RESULTADOS_R!$T$12*M118)+(RESULTADOS_R!$T$13*M117)+(RESULTADOS_R!$T$14*M116)</f>
        <v>-1.2805965680834299E-4</v>
      </c>
      <c r="T121">
        <f t="shared" si="13"/>
        <v>1.8685021684317648E-3</v>
      </c>
      <c r="U121" s="3"/>
      <c r="V121" t="s">
        <v>132</v>
      </c>
      <c r="W121" t="s">
        <v>119</v>
      </c>
      <c r="X121">
        <v>0.16710431824865274</v>
      </c>
      <c r="Y121">
        <v>2.4482621349108734E-3</v>
      </c>
      <c r="Z121">
        <v>4.1245487621826796E-2</v>
      </c>
      <c r="AA121">
        <f>RESULTADOS_R!$T$15+(RESULTADOS_R!$T$16*'EV1-ER-AR'!X120)+(RESULTADOS_R!$T$17*'EV1-ER-AR'!X119)</f>
        <v>-7.0441980525125063E-3</v>
      </c>
      <c r="AB121">
        <f t="shared" si="9"/>
        <v>0.17414851630116523</v>
      </c>
      <c r="AC121" s="3"/>
      <c r="AD121" t="s">
        <v>132</v>
      </c>
      <c r="AE121" t="s">
        <v>119</v>
      </c>
      <c r="AF121">
        <v>0.17345233436499569</v>
      </c>
      <c r="AG121">
        <f>RESULTADOS_R!$T$18</f>
        <v>4.3639999999999998E-3</v>
      </c>
      <c r="AH121">
        <f t="shared" si="7"/>
        <v>0.16908833436499568</v>
      </c>
      <c r="AI121" s="3"/>
      <c r="AJ121" t="s">
        <v>132</v>
      </c>
      <c r="AK121" t="s">
        <v>119</v>
      </c>
      <c r="AL121">
        <v>-1.0347368553411725E-2</v>
      </c>
      <c r="AM121">
        <v>-2.8049389700748613E-2</v>
      </c>
      <c r="AN121">
        <v>9.1812197943966778E-3</v>
      </c>
      <c r="AO121">
        <v>-9.9136576680184923E-3</v>
      </c>
      <c r="AP121">
        <v>-3.0509738992176391E-2</v>
      </c>
      <c r="AQ121">
        <f>RESULTADOS_R!$T$19+(RESULTADOS_R!$T$20*AL120)+(RESULTADOS_R!$T$21*AL119)+(RESULTADOS_R!$T$22*AL118)+(RESULTADOS_R!$T$23*AL117)</f>
        <v>-1.898247438099365E-3</v>
      </c>
      <c r="AR121">
        <f t="shared" si="12"/>
        <v>-8.4491211153123608E-3</v>
      </c>
      <c r="AS121" s="3"/>
      <c r="AT121" t="s">
        <v>132</v>
      </c>
      <c r="AU121" t="s">
        <v>119</v>
      </c>
      <c r="AV121">
        <v>1.079296487769755E-2</v>
      </c>
      <c r="AW121">
        <v>-4.9664255368952512E-2</v>
      </c>
      <c r="AX121">
        <v>-2.4324463311370653E-2</v>
      </c>
      <c r="AY121">
        <f>RESULTADOS_R!$T$24+(RESULTADOS_R!$T$25*AV120)+(RESULTADOS_R!$T$26*AV119)</f>
        <v>5.7569691607287088E-3</v>
      </c>
      <c r="AZ121">
        <f t="shared" si="10"/>
        <v>5.0359957169688416E-3</v>
      </c>
      <c r="BA121" s="3"/>
      <c r="BB121" t="s">
        <v>132</v>
      </c>
      <c r="BC121" t="s">
        <v>119</v>
      </c>
      <c r="BD121">
        <v>1.5644092191119265E-2</v>
      </c>
      <c r="BE121">
        <v>1.5792292734056423E-2</v>
      </c>
      <c r="BF121">
        <f>RESULTADOS_R!$T$27+(RESULTADOS_R!$T$28*BD120)</f>
        <v>3.0790866225808827E-3</v>
      </c>
      <c r="BG121">
        <f t="shared" si="8"/>
        <v>1.2565005568538382E-2</v>
      </c>
    </row>
    <row r="122" spans="1:59" x14ac:dyDescent="0.25">
      <c r="A122" t="s">
        <v>132</v>
      </c>
      <c r="B122" t="s">
        <v>120</v>
      </c>
      <c r="C122">
        <v>-4.4340462291053387E-2</v>
      </c>
      <c r="D122">
        <v>4.7009966969245786E-3</v>
      </c>
      <c r="E122">
        <v>-5.3226290048630311E-2</v>
      </c>
      <c r="F122">
        <v>5.8242813256478829E-2</v>
      </c>
      <c r="G122">
        <v>-0.12765733657068626</v>
      </c>
      <c r="H122">
        <f>RESULTADOS_R!$T$4+(RESULTADOS_R!$T$5*C121)+(RESULTADOS_R!$T$6*C120)+(RESULTADOS_R!$T$7*C119)+(RESULTADOS_R!$T$8*C118)</f>
        <v>-2.9492061916843251E-2</v>
      </c>
      <c r="I122">
        <f t="shared" si="11"/>
        <v>-1.4848400374210136E-2</v>
      </c>
      <c r="J122" s="3"/>
      <c r="K122" t="s">
        <v>132</v>
      </c>
      <c r="L122" t="s">
        <v>120</v>
      </c>
      <c r="M122">
        <v>2.6628090987233866E-3</v>
      </c>
      <c r="N122">
        <v>1.7404425116234218E-3</v>
      </c>
      <c r="O122">
        <v>-1.2766206109147472E-3</v>
      </c>
      <c r="P122">
        <v>-2.316961184798566E-3</v>
      </c>
      <c r="Q122">
        <v>1.6213089828314314E-3</v>
      </c>
      <c r="R122">
        <v>1.2757322692802484E-3</v>
      </c>
      <c r="S122">
        <f>RESULTADOS_R!$T$9+(RESULTADOS_R!$T$10*M121)+(RESULTADOS_R!$T$11*M120)+(RESULTADOS_R!$T$12*M119)+(RESULTADOS_R!$T$13*M118)+(RESULTADOS_R!$T$14*M117)</f>
        <v>6.8494952599996252E-5</v>
      </c>
      <c r="T122">
        <f t="shared" si="13"/>
        <v>2.5943141461233902E-3</v>
      </c>
      <c r="U122" s="3"/>
      <c r="V122" t="s">
        <v>132</v>
      </c>
      <c r="W122" t="s">
        <v>120</v>
      </c>
      <c r="X122">
        <v>1.2244183156443181E-3</v>
      </c>
      <c r="Y122">
        <v>0.16710431824865274</v>
      </c>
      <c r="Z122">
        <v>2.4482621349108734E-3</v>
      </c>
      <c r="AA122">
        <f>RESULTADOS_R!$T$15+(RESULTADOS_R!$T$16*'EV1-ER-AR'!X121)+(RESULTADOS_R!$T$17*'EV1-ER-AR'!X120)</f>
        <v>4.0468635648827515E-2</v>
      </c>
      <c r="AB122">
        <f t="shared" si="9"/>
        <v>-3.9244217333183194E-2</v>
      </c>
      <c r="AC122" s="3"/>
      <c r="AD122" t="s">
        <v>132</v>
      </c>
      <c r="AE122" t="s">
        <v>120</v>
      </c>
      <c r="AF122">
        <v>-2.8640974387357743E-2</v>
      </c>
      <c r="AG122">
        <f>RESULTADOS_R!$T$18</f>
        <v>4.3639999999999998E-3</v>
      </c>
      <c r="AH122">
        <f t="shared" si="7"/>
        <v>-3.3004974387357743E-2</v>
      </c>
      <c r="AI122" s="3"/>
      <c r="AJ122" t="s">
        <v>132</v>
      </c>
      <c r="AK122" t="s">
        <v>120</v>
      </c>
      <c r="AL122">
        <v>1.8348644261053763E-2</v>
      </c>
      <c r="AM122">
        <v>-1.0347368553411725E-2</v>
      </c>
      <c r="AN122">
        <v>-2.8049389700748613E-2</v>
      </c>
      <c r="AO122">
        <v>9.1812197943966778E-3</v>
      </c>
      <c r="AP122">
        <v>-9.9136576680184923E-3</v>
      </c>
      <c r="AQ122">
        <f>RESULTADOS_R!$T$19+(RESULTADOS_R!$T$20*AL121)+(RESULTADOS_R!$T$21*AL120)+(RESULTADOS_R!$T$22*AL119)+(RESULTADOS_R!$T$23*AL118)</f>
        <v>-3.9674758010824068E-3</v>
      </c>
      <c r="AR122">
        <f t="shared" si="12"/>
        <v>2.231612006213617E-2</v>
      </c>
      <c r="AS122" s="3"/>
      <c r="AT122" t="s">
        <v>132</v>
      </c>
      <c r="AU122" t="s">
        <v>120</v>
      </c>
      <c r="AV122">
        <v>3.8076693707293677E-2</v>
      </c>
      <c r="AW122">
        <v>1.079296487769755E-2</v>
      </c>
      <c r="AX122">
        <v>-4.9664255368952512E-2</v>
      </c>
      <c r="AY122">
        <f>RESULTADOS_R!$T$24+(RESULTADOS_R!$T$25*AV121)+(RESULTADOS_R!$T$26*AV120)</f>
        <v>5.2754762143868861E-3</v>
      </c>
      <c r="AZ122">
        <f t="shared" si="10"/>
        <v>3.2801217492906792E-2</v>
      </c>
      <c r="BA122" s="3"/>
      <c r="BB122" t="s">
        <v>132</v>
      </c>
      <c r="BC122" t="s">
        <v>120</v>
      </c>
      <c r="BD122">
        <v>6.0319500593325882E-4</v>
      </c>
      <c r="BE122">
        <v>1.5644092191119265E-2</v>
      </c>
      <c r="BF122">
        <f>RESULTADOS_R!$T$27+(RESULTADOS_R!$T$28*BD121)</f>
        <v>3.0508074423950533E-3</v>
      </c>
      <c r="BG122">
        <f t="shared" si="8"/>
        <v>-2.4476124364617947E-3</v>
      </c>
    </row>
    <row r="123" spans="1:59" x14ac:dyDescent="0.25">
      <c r="A123" t="s">
        <v>132</v>
      </c>
      <c r="B123" t="s">
        <v>121</v>
      </c>
      <c r="C123">
        <v>-2.9722814128868832E-2</v>
      </c>
      <c r="D123">
        <v>-4.4340462291053387E-2</v>
      </c>
      <c r="E123">
        <v>4.7009966969245786E-3</v>
      </c>
      <c r="F123">
        <v>-5.3226290048630311E-2</v>
      </c>
      <c r="G123">
        <v>5.8242813256478829E-2</v>
      </c>
      <c r="H123">
        <f>RESULTADOS_R!$T$4+(RESULTADOS_R!$T$5*C122)+(RESULTADOS_R!$T$6*C121)+(RESULTADOS_R!$T$7*C120)+(RESULTADOS_R!$T$8*C119)</f>
        <v>3.1225377893927639E-2</v>
      </c>
      <c r="I123">
        <f t="shared" si="11"/>
        <v>-6.0948192022796471E-2</v>
      </c>
      <c r="J123" s="3"/>
      <c r="K123" t="s">
        <v>132</v>
      </c>
      <c r="L123" t="s">
        <v>121</v>
      </c>
      <c r="M123">
        <v>1.1555351412894052E-3</v>
      </c>
      <c r="N123">
        <v>2.6628090987233866E-3</v>
      </c>
      <c r="O123">
        <v>1.7404425116234218E-3</v>
      </c>
      <c r="P123">
        <v>-1.2766206109147472E-3</v>
      </c>
      <c r="Q123">
        <v>-2.316961184798566E-3</v>
      </c>
      <c r="R123">
        <v>1.6213089828314314E-3</v>
      </c>
      <c r="S123">
        <f>RESULTADOS_R!$T$9+(RESULTADOS_R!$T$10*M122)+(RESULTADOS_R!$T$11*M121)+(RESULTADOS_R!$T$12*M120)+(RESULTADOS_R!$T$13*M119)+(RESULTADOS_R!$T$14*M118)</f>
        <v>-3.1604575719877074E-4</v>
      </c>
      <c r="T123">
        <f t="shared" si="13"/>
        <v>1.4715808984881759E-3</v>
      </c>
      <c r="U123" s="3"/>
      <c r="V123" t="s">
        <v>132</v>
      </c>
      <c r="W123" t="s">
        <v>121</v>
      </c>
      <c r="X123">
        <v>3.4491718778777929E-2</v>
      </c>
      <c r="Y123">
        <v>1.2244183156443181E-3</v>
      </c>
      <c r="Z123">
        <v>0.16710431824865274</v>
      </c>
      <c r="AA123">
        <f>RESULTADOS_R!$T$15+(RESULTADOS_R!$T$16*'EV1-ER-AR'!X122)+(RESULTADOS_R!$T$17*'EV1-ER-AR'!X121)</f>
        <v>-3.5589549055949979E-2</v>
      </c>
      <c r="AB123">
        <f t="shared" si="9"/>
        <v>7.0081267834727901E-2</v>
      </c>
      <c r="AC123" s="3"/>
      <c r="AD123" t="s">
        <v>132</v>
      </c>
      <c r="AE123" t="s">
        <v>121</v>
      </c>
      <c r="AF123">
        <v>1.6248830023234882E-2</v>
      </c>
      <c r="AG123">
        <f>RESULTADOS_R!$T$18</f>
        <v>4.3639999999999998E-3</v>
      </c>
      <c r="AH123">
        <f t="shared" si="7"/>
        <v>1.1884830023234882E-2</v>
      </c>
      <c r="AI123" s="3"/>
      <c r="AJ123" t="s">
        <v>132</v>
      </c>
      <c r="AK123" t="s">
        <v>121</v>
      </c>
      <c r="AL123">
        <v>3.6418893467846908E-2</v>
      </c>
      <c r="AM123">
        <v>1.8348644261053763E-2</v>
      </c>
      <c r="AN123">
        <v>-1.0347368553411725E-2</v>
      </c>
      <c r="AO123">
        <v>-2.8049389700748613E-2</v>
      </c>
      <c r="AP123">
        <v>9.1812197943966778E-3</v>
      </c>
      <c r="AQ123">
        <f>RESULTADOS_R!$T$19+(RESULTADOS_R!$T$20*AL122)+(RESULTADOS_R!$T$21*AL121)+(RESULTADOS_R!$T$22*AL120)+(RESULTADOS_R!$T$23*AL119)</f>
        <v>7.8624848955497449E-3</v>
      </c>
      <c r="AR123">
        <f t="shared" si="12"/>
        <v>2.8556408572297163E-2</v>
      </c>
      <c r="AS123" s="3"/>
      <c r="AT123" t="s">
        <v>132</v>
      </c>
      <c r="AU123" t="s">
        <v>121</v>
      </c>
      <c r="AV123">
        <v>5.1889301159936806E-2</v>
      </c>
      <c r="AW123">
        <v>3.8076693707293677E-2</v>
      </c>
      <c r="AX123">
        <v>1.079296487769755E-2</v>
      </c>
      <c r="AY123">
        <f>RESULTADOS_R!$T$24+(RESULTADOS_R!$T$25*AV122)+(RESULTADOS_R!$T$26*AV121)</f>
        <v>-2.1606888151715761E-3</v>
      </c>
      <c r="AZ123">
        <f t="shared" si="10"/>
        <v>5.4049989975108383E-2</v>
      </c>
      <c r="BA123" s="3"/>
      <c r="BB123" t="s">
        <v>132</v>
      </c>
      <c r="BC123" t="s">
        <v>121</v>
      </c>
      <c r="BD123">
        <v>-3.2147477321584667E-3</v>
      </c>
      <c r="BE123">
        <v>6.0319500593325882E-4</v>
      </c>
      <c r="BF123">
        <f>RESULTADOS_R!$T$27+(RESULTADOS_R!$T$28*BD122)</f>
        <v>1.8074884998646153E-4</v>
      </c>
      <c r="BG123">
        <f t="shared" si="8"/>
        <v>-3.3954965821449282E-3</v>
      </c>
    </row>
    <row r="124" spans="1:59" x14ac:dyDescent="0.25">
      <c r="A124" t="s">
        <v>132</v>
      </c>
      <c r="B124" t="s">
        <v>122</v>
      </c>
      <c r="C124">
        <v>8.9670898616125996E-2</v>
      </c>
      <c r="D124">
        <v>-2.9722814128868832E-2</v>
      </c>
      <c r="E124">
        <v>-4.4340462291053387E-2</v>
      </c>
      <c r="F124">
        <v>4.7009966969245786E-3</v>
      </c>
      <c r="G124">
        <v>-5.3226290048630311E-2</v>
      </c>
      <c r="H124">
        <f>RESULTADOS_R!$T$4+(RESULTADOS_R!$T$5*C123)+(RESULTADOS_R!$T$6*C122)+(RESULTADOS_R!$T$7*C121)+(RESULTADOS_R!$T$8*C120)</f>
        <v>1.0880279774992778E-3</v>
      </c>
      <c r="I124">
        <f t="shared" si="11"/>
        <v>8.8582870638626715E-2</v>
      </c>
      <c r="J124" s="3"/>
      <c r="K124" t="s">
        <v>132</v>
      </c>
      <c r="L124" t="s">
        <v>122</v>
      </c>
      <c r="M124">
        <v>-1.3868024873710651E-3</v>
      </c>
      <c r="N124">
        <v>1.1555351412894052E-3</v>
      </c>
      <c r="O124">
        <v>2.6628090987233866E-3</v>
      </c>
      <c r="P124">
        <v>1.7404425116234218E-3</v>
      </c>
      <c r="Q124">
        <v>-1.2766206109147472E-3</v>
      </c>
      <c r="R124">
        <v>-2.316961184798566E-3</v>
      </c>
      <c r="S124">
        <f>RESULTADOS_R!$T$9+(RESULTADOS_R!$T$10*M123)+(RESULTADOS_R!$T$11*M122)+(RESULTADOS_R!$T$12*M121)+(RESULTADOS_R!$T$13*M120)+(RESULTADOS_R!$T$14*M119)</f>
        <v>-1.9557637935502928E-4</v>
      </c>
      <c r="T124">
        <f t="shared" si="13"/>
        <v>-1.1912261080160359E-3</v>
      </c>
      <c r="U124" s="3"/>
      <c r="V124" t="s">
        <v>132</v>
      </c>
      <c r="W124" t="s">
        <v>122</v>
      </c>
      <c r="X124">
        <v>4.8444747418602337E-2</v>
      </c>
      <c r="Y124">
        <v>3.4491718778777929E-2</v>
      </c>
      <c r="Z124">
        <v>1.2244183156443181E-3</v>
      </c>
      <c r="AA124">
        <f>RESULTADOS_R!$T$15+(RESULTADOS_R!$T$16*'EV1-ER-AR'!X123)+(RESULTADOS_R!$T$17*'EV1-ER-AR'!X122)</f>
        <v>9.4923171429502178E-3</v>
      </c>
      <c r="AB124">
        <f t="shared" si="9"/>
        <v>3.8952430275652122E-2</v>
      </c>
      <c r="AC124" s="3"/>
      <c r="AD124" t="s">
        <v>132</v>
      </c>
      <c r="AE124" t="s">
        <v>122</v>
      </c>
      <c r="AF124">
        <v>2.813639765229721E-2</v>
      </c>
      <c r="AG124">
        <f>RESULTADOS_R!$T$18</f>
        <v>4.3639999999999998E-3</v>
      </c>
      <c r="AH124">
        <f t="shared" si="7"/>
        <v>2.377239765229721E-2</v>
      </c>
      <c r="AI124" s="3"/>
      <c r="AJ124" t="s">
        <v>132</v>
      </c>
      <c r="AK124" t="s">
        <v>122</v>
      </c>
      <c r="AL124">
        <v>4.2968471858317286E-2</v>
      </c>
      <c r="AM124">
        <v>3.6418893467846908E-2</v>
      </c>
      <c r="AN124">
        <v>1.8348644261053763E-2</v>
      </c>
      <c r="AO124">
        <v>-1.0347368553411725E-2</v>
      </c>
      <c r="AP124">
        <v>-2.8049389700748613E-2</v>
      </c>
      <c r="AQ124">
        <f>RESULTADOS_R!$T$19+(RESULTADOS_R!$T$20*AL123)+(RESULTADOS_R!$T$21*AL122)+(RESULTADOS_R!$T$22*AL121)+(RESULTADOS_R!$T$23*AL120)</f>
        <v>3.6756988949834847E-3</v>
      </c>
      <c r="AR124">
        <f t="shared" si="12"/>
        <v>3.9292772963333805E-2</v>
      </c>
      <c r="AS124" s="3"/>
      <c r="AT124" t="s">
        <v>132</v>
      </c>
      <c r="AU124" t="s">
        <v>122</v>
      </c>
      <c r="AV124">
        <v>7.416187905651378E-2</v>
      </c>
      <c r="AW124">
        <v>5.1889301159936806E-2</v>
      </c>
      <c r="AX124">
        <v>3.8076693707293677E-2</v>
      </c>
      <c r="AY124">
        <f>RESULTADOS_R!$T$24+(RESULTADOS_R!$T$25*AV123)+(RESULTADOS_R!$T$26*AV122)</f>
        <v>-5.591616827704475E-3</v>
      </c>
      <c r="AZ124">
        <f t="shared" si="10"/>
        <v>7.9753495884218262E-2</v>
      </c>
      <c r="BA124" s="3"/>
      <c r="BB124" t="s">
        <v>132</v>
      </c>
      <c r="BC124" t="s">
        <v>122</v>
      </c>
      <c r="BD124">
        <v>-4.3808681194693879E-3</v>
      </c>
      <c r="BE124">
        <v>-3.2147477321584667E-3</v>
      </c>
      <c r="BF124">
        <f>RESULTADOS_R!$T$27+(RESULTADOS_R!$T$28*BD123)</f>
        <v>-5.4777945692707525E-4</v>
      </c>
      <c r="BG124">
        <f t="shared" si="8"/>
        <v>-3.8330886625423128E-3</v>
      </c>
    </row>
    <row r="125" spans="1:59" x14ac:dyDescent="0.25">
      <c r="A125" t="s">
        <v>132</v>
      </c>
      <c r="B125" t="s">
        <v>123</v>
      </c>
      <c r="C125">
        <v>1.1497414836250339E-2</v>
      </c>
      <c r="D125">
        <v>8.9670898616125996E-2</v>
      </c>
      <c r="E125">
        <v>-2.9722814128868832E-2</v>
      </c>
      <c r="F125">
        <v>-4.4340462291053387E-2</v>
      </c>
      <c r="G125">
        <v>4.7009966969245786E-3</v>
      </c>
      <c r="H125">
        <f>RESULTADOS_R!$T$4+(RESULTADOS_R!$T$5*C124)+(RESULTADOS_R!$T$6*C123)+(RESULTADOS_R!$T$7*C122)+(RESULTADOS_R!$T$8*C121)</f>
        <v>9.9322197927182564E-3</v>
      </c>
      <c r="I125">
        <f t="shared" si="11"/>
        <v>1.5651950435320826E-3</v>
      </c>
      <c r="J125" s="3"/>
      <c r="K125" t="s">
        <v>132</v>
      </c>
      <c r="L125" t="s">
        <v>123</v>
      </c>
      <c r="M125">
        <v>1.1558022553434127E-3</v>
      </c>
      <c r="N125">
        <v>-1.3868024873710651E-3</v>
      </c>
      <c r="O125">
        <v>1.1555351412894052E-3</v>
      </c>
      <c r="P125">
        <v>2.6628090987233866E-3</v>
      </c>
      <c r="Q125">
        <v>1.7404425116234218E-3</v>
      </c>
      <c r="R125">
        <v>-1.2766206109147472E-3</v>
      </c>
      <c r="S125">
        <f>RESULTADOS_R!$T$9+(RESULTADOS_R!$T$10*M124)+(RESULTADOS_R!$T$11*M123)+(RESULTADOS_R!$T$12*M122)+(RESULTADOS_R!$T$13*M121)+(RESULTADOS_R!$T$14*M120)</f>
        <v>-6.695306234238979E-5</v>
      </c>
      <c r="T125">
        <f t="shared" si="13"/>
        <v>1.2227553176858024E-3</v>
      </c>
      <c r="U125" s="3"/>
      <c r="V125" t="s">
        <v>132</v>
      </c>
      <c r="W125" t="s">
        <v>123</v>
      </c>
      <c r="X125">
        <v>-8.0115495639876515E-3</v>
      </c>
      <c r="Y125">
        <v>4.8444747418602337E-2</v>
      </c>
      <c r="Z125">
        <v>3.4491718778777929E-2</v>
      </c>
      <c r="AA125">
        <f>RESULTADOS_R!$T$15+(RESULTADOS_R!$T$16*'EV1-ER-AR'!X124)+(RESULTADOS_R!$T$17*'EV1-ER-AR'!X123)</f>
        <v>5.3115045842458018E-3</v>
      </c>
      <c r="AB125">
        <f t="shared" si="9"/>
        <v>-1.3323054148233454E-2</v>
      </c>
      <c r="AC125" s="3"/>
      <c r="AD125" t="s">
        <v>132</v>
      </c>
      <c r="AE125" t="s">
        <v>123</v>
      </c>
      <c r="AF125">
        <v>-1.8661997404647551E-2</v>
      </c>
      <c r="AG125">
        <f>RESULTADOS_R!$T$18</f>
        <v>4.3639999999999998E-3</v>
      </c>
      <c r="AH125">
        <f t="shared" si="7"/>
        <v>-2.3025997404647551E-2</v>
      </c>
      <c r="AI125" s="3"/>
      <c r="AJ125" t="s">
        <v>132</v>
      </c>
      <c r="AK125" t="s">
        <v>123</v>
      </c>
      <c r="AL125">
        <v>-5.0930013481636531E-3</v>
      </c>
      <c r="AM125">
        <v>4.2968471858317286E-2</v>
      </c>
      <c r="AN125">
        <v>3.6418893467846908E-2</v>
      </c>
      <c r="AO125">
        <v>1.8348644261053763E-2</v>
      </c>
      <c r="AP125">
        <v>-1.0347368553411725E-2</v>
      </c>
      <c r="AQ125">
        <f>RESULTADOS_R!$T$19+(RESULTADOS_R!$T$20*AL124)+(RESULTADOS_R!$T$21*AL123)+(RESULTADOS_R!$T$22*AL122)+(RESULTADOS_R!$T$23*AL121)</f>
        <v>1.1957499769690606E-3</v>
      </c>
      <c r="AR125">
        <f t="shared" si="12"/>
        <v>-6.2887513251327137E-3</v>
      </c>
      <c r="AS125" s="3"/>
      <c r="AT125" t="s">
        <v>132</v>
      </c>
      <c r="AU125" t="s">
        <v>123</v>
      </c>
      <c r="AV125">
        <v>1.1149941297034477E-2</v>
      </c>
      <c r="AW125">
        <v>7.416187905651378E-2</v>
      </c>
      <c r="AX125">
        <v>5.1889301159936806E-2</v>
      </c>
      <c r="AY125">
        <f>RESULTADOS_R!$T$24+(RESULTADOS_R!$T$25*AV124)+(RESULTADOS_R!$T$26*AV123)</f>
        <v>-8.0933120476933407E-3</v>
      </c>
      <c r="AZ125">
        <f t="shared" si="10"/>
        <v>1.9243253344727818E-2</v>
      </c>
      <c r="BA125" s="3"/>
      <c r="BB125" t="s">
        <v>132</v>
      </c>
      <c r="BC125" t="s">
        <v>123</v>
      </c>
      <c r="BD125">
        <v>-9.7396492975589301E-3</v>
      </c>
      <c r="BE125">
        <v>-4.3808681194693879E-3</v>
      </c>
      <c r="BF125">
        <f>RESULTADOS_R!$T$27+(RESULTADOS_R!$T$28*BD124)</f>
        <v>-7.7029502871629589E-4</v>
      </c>
      <c r="BG125">
        <f t="shared" si="8"/>
        <v>-8.9693542688426345E-3</v>
      </c>
    </row>
  </sheetData>
  <mergeCells count="6">
    <mergeCell ref="BA1:BA125"/>
    <mergeCell ref="J1:J125"/>
    <mergeCell ref="U1:U125"/>
    <mergeCell ref="AC1:AC125"/>
    <mergeCell ref="AI1:AI125"/>
    <mergeCell ref="AS1:AS12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B10FF-0ACA-4F08-8552-BAEB38EDD291}">
  <dimension ref="A1:BA126"/>
  <sheetViews>
    <sheetView workbookViewId="0"/>
  </sheetViews>
  <sheetFormatPr defaultRowHeight="15" x14ac:dyDescent="0.25"/>
  <cols>
    <col min="6" max="6" width="2.85546875" customWidth="1"/>
    <col min="15" max="15" width="12" bestFit="1" customWidth="1"/>
    <col min="16" max="16" width="2.85546875" customWidth="1"/>
    <col min="22" max="22" width="2.85546875" customWidth="1"/>
    <col min="28" max="28" width="2.85546875" customWidth="1"/>
    <col min="36" max="36" width="12.7109375" bestFit="1" customWidth="1"/>
    <col min="38" max="38" width="2.85546875" customWidth="1"/>
    <col min="48" max="48" width="2.85546875" customWidth="1"/>
  </cols>
  <sheetData>
    <row r="1" spans="1:53" x14ac:dyDescent="0.25">
      <c r="A1" t="s">
        <v>337</v>
      </c>
      <c r="B1" t="s">
        <v>338</v>
      </c>
      <c r="C1" t="s">
        <v>136</v>
      </c>
      <c r="D1" s="1" t="s">
        <v>351</v>
      </c>
      <c r="E1" s="1" t="s">
        <v>339</v>
      </c>
      <c r="F1" s="3"/>
      <c r="G1" t="s">
        <v>337</v>
      </c>
      <c r="H1" t="s">
        <v>338</v>
      </c>
      <c r="I1" t="s">
        <v>124</v>
      </c>
      <c r="J1" s="1" t="s">
        <v>347</v>
      </c>
      <c r="K1" s="1" t="s">
        <v>348</v>
      </c>
      <c r="L1" s="1" t="s">
        <v>349</v>
      </c>
      <c r="M1" s="1" t="s">
        <v>350</v>
      </c>
      <c r="N1" s="1" t="s">
        <v>353</v>
      </c>
      <c r="O1" s="1" t="s">
        <v>352</v>
      </c>
      <c r="P1" s="3"/>
      <c r="Q1" t="s">
        <v>337</v>
      </c>
      <c r="R1" t="s">
        <v>338</v>
      </c>
      <c r="S1" t="s">
        <v>125</v>
      </c>
      <c r="T1" s="1" t="s">
        <v>354</v>
      </c>
      <c r="U1" s="1" t="s">
        <v>355</v>
      </c>
      <c r="V1" s="3"/>
      <c r="W1" t="s">
        <v>337</v>
      </c>
      <c r="X1" t="s">
        <v>338</v>
      </c>
      <c r="Y1" t="s">
        <v>126</v>
      </c>
      <c r="Z1" s="1" t="s">
        <v>356</v>
      </c>
      <c r="AA1" s="1" t="s">
        <v>357</v>
      </c>
      <c r="AB1" s="3"/>
      <c r="AC1" t="s">
        <v>337</v>
      </c>
      <c r="AD1" t="s">
        <v>338</v>
      </c>
      <c r="AE1" t="s">
        <v>127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3"/>
      <c r="AM1" t="s">
        <v>337</v>
      </c>
      <c r="AN1" t="s">
        <v>338</v>
      </c>
      <c r="AO1" t="s">
        <v>128</v>
      </c>
      <c r="AP1" s="1" t="s">
        <v>364</v>
      </c>
      <c r="AQ1" s="1" t="s">
        <v>365</v>
      </c>
      <c r="AR1" s="1" t="s">
        <v>366</v>
      </c>
      <c r="AS1" s="1" t="s">
        <v>367</v>
      </c>
      <c r="AT1" s="1" t="s">
        <v>368</v>
      </c>
      <c r="AU1" s="1" t="s">
        <v>369</v>
      </c>
      <c r="AV1" s="3"/>
      <c r="AW1" t="s">
        <v>337</v>
      </c>
      <c r="AX1" t="s">
        <v>338</v>
      </c>
      <c r="AY1" t="s">
        <v>129</v>
      </c>
      <c r="AZ1" s="1" t="s">
        <v>370</v>
      </c>
      <c r="BA1" s="1" t="s">
        <v>371</v>
      </c>
    </row>
    <row r="2" spans="1:53" x14ac:dyDescent="0.25">
      <c r="A2" t="s">
        <v>133</v>
      </c>
      <c r="B2" t="s">
        <v>212</v>
      </c>
      <c r="C2">
        <v>2.2627231770550355E-3</v>
      </c>
      <c r="D2">
        <f>RESULTADOS_R!$T$31</f>
        <v>2.8909999999999998E-4</v>
      </c>
      <c r="E2">
        <f>C2-D2</f>
        <v>1.9736231770550354E-3</v>
      </c>
      <c r="F2" s="3"/>
      <c r="G2" t="s">
        <v>133</v>
      </c>
      <c r="H2" t="s">
        <v>212</v>
      </c>
      <c r="I2">
        <v>2.3196474239945303E-4</v>
      </c>
      <c r="P2" s="3"/>
      <c r="Q2" t="s">
        <v>133</v>
      </c>
      <c r="R2" t="s">
        <v>212</v>
      </c>
      <c r="S2">
        <v>1.7621637076743152E-3</v>
      </c>
      <c r="T2">
        <f>RESULTADOS_R!$T$37</f>
        <v>-1.944E-3</v>
      </c>
      <c r="U2">
        <f>S2-T2</f>
        <v>3.7061637076743151E-3</v>
      </c>
      <c r="V2" s="3"/>
      <c r="W2" t="s">
        <v>133</v>
      </c>
      <c r="X2" t="s">
        <v>212</v>
      </c>
      <c r="Y2">
        <v>2.2782492406572551E-2</v>
      </c>
      <c r="Z2">
        <f>RESULTADOS_R!$T$38</f>
        <v>-1.799E-3</v>
      </c>
      <c r="AA2">
        <f>Y2-Z2</f>
        <v>2.458149240657255E-2</v>
      </c>
      <c r="AB2" s="3"/>
      <c r="AC2" t="s">
        <v>133</v>
      </c>
      <c r="AD2" t="s">
        <v>212</v>
      </c>
      <c r="AE2">
        <v>3.4349611944521387E-3</v>
      </c>
      <c r="AL2" s="3"/>
      <c r="AM2" t="s">
        <v>133</v>
      </c>
      <c r="AN2" t="s">
        <v>212</v>
      </c>
      <c r="AO2">
        <v>-8.432947530991614E-5</v>
      </c>
      <c r="AV2" s="3"/>
      <c r="AW2" t="s">
        <v>133</v>
      </c>
      <c r="AX2" t="s">
        <v>212</v>
      </c>
      <c r="AY2">
        <v>1.0040107290121309E-3</v>
      </c>
      <c r="AZ2">
        <f>RESULTADOS_R!$T$49</f>
        <v>3.5589999999999998E-4</v>
      </c>
      <c r="BA2">
        <f>AY2-AZ2</f>
        <v>6.4811072901213096E-4</v>
      </c>
    </row>
    <row r="3" spans="1:53" x14ac:dyDescent="0.25">
      <c r="A3" t="s">
        <v>133</v>
      </c>
      <c r="B3" t="s">
        <v>213</v>
      </c>
      <c r="C3">
        <v>-5.7452075710336756E-3</v>
      </c>
      <c r="D3">
        <f>RESULTADOS_R!$T$31</f>
        <v>2.8909999999999998E-4</v>
      </c>
      <c r="E3">
        <f t="shared" ref="E3:E66" si="0">C3-D3</f>
        <v>-6.0343075710336752E-3</v>
      </c>
      <c r="F3" s="3"/>
      <c r="G3" t="s">
        <v>133</v>
      </c>
      <c r="H3" t="s">
        <v>213</v>
      </c>
      <c r="I3">
        <v>1.1596219645376226E-4</v>
      </c>
      <c r="J3">
        <v>2.3196474239945303E-4</v>
      </c>
      <c r="P3" s="3"/>
      <c r="Q3" t="s">
        <v>133</v>
      </c>
      <c r="R3" t="s">
        <v>213</v>
      </c>
      <c r="S3">
        <v>4.6272076997073128E-2</v>
      </c>
      <c r="T3">
        <f>RESULTADOS_R!$T$37</f>
        <v>-1.944E-3</v>
      </c>
      <c r="U3">
        <f t="shared" ref="U3:U66" si="1">S3-T3</f>
        <v>4.8216076997073129E-2</v>
      </c>
      <c r="V3" s="3"/>
      <c r="W3" t="s">
        <v>133</v>
      </c>
      <c r="X3" t="s">
        <v>213</v>
      </c>
      <c r="Y3">
        <v>4.2795714794395714E-2</v>
      </c>
      <c r="Z3">
        <f>RESULTADOS_R!$T$38</f>
        <v>-1.799E-3</v>
      </c>
      <c r="AA3">
        <f t="shared" ref="AA3:AA66" si="2">Y3-Z3</f>
        <v>4.4594714794395716E-2</v>
      </c>
      <c r="AB3" s="3"/>
      <c r="AC3" t="s">
        <v>133</v>
      </c>
      <c r="AD3" t="s">
        <v>213</v>
      </c>
      <c r="AE3">
        <v>5.9926355624837658E-3</v>
      </c>
      <c r="AF3">
        <v>3.4349611944521387E-3</v>
      </c>
      <c r="AL3" s="3"/>
      <c r="AM3" t="s">
        <v>133</v>
      </c>
      <c r="AN3" t="s">
        <v>213</v>
      </c>
      <c r="AO3">
        <v>4.963311204809283E-3</v>
      </c>
      <c r="AP3">
        <v>-8.432947530991614E-5</v>
      </c>
      <c r="AV3" s="3"/>
      <c r="AW3" t="s">
        <v>133</v>
      </c>
      <c r="AX3" t="s">
        <v>213</v>
      </c>
      <c r="AY3">
        <v>-5.6125809631009892E-4</v>
      </c>
      <c r="AZ3">
        <f>RESULTADOS_R!$T$49</f>
        <v>3.5589999999999998E-4</v>
      </c>
      <c r="BA3">
        <f t="shared" ref="BA3:BA66" si="3">AY3-AZ3</f>
        <v>-9.1715809631009895E-4</v>
      </c>
    </row>
    <row r="4" spans="1:53" x14ac:dyDescent="0.25">
      <c r="A4" t="s">
        <v>133</v>
      </c>
      <c r="B4" t="s">
        <v>214</v>
      </c>
      <c r="C4">
        <v>8.4269532057709463E-3</v>
      </c>
      <c r="D4">
        <f>RESULTADOS_R!$T$31</f>
        <v>2.8909999999999998E-4</v>
      </c>
      <c r="E4">
        <f t="shared" si="0"/>
        <v>8.1378532057709459E-3</v>
      </c>
      <c r="F4" s="3"/>
      <c r="G4" t="s">
        <v>133</v>
      </c>
      <c r="H4" t="s">
        <v>214</v>
      </c>
      <c r="I4">
        <v>0</v>
      </c>
      <c r="J4">
        <v>1.1596219645376226E-4</v>
      </c>
      <c r="K4">
        <v>2.3196474239945303E-4</v>
      </c>
      <c r="P4" s="3"/>
      <c r="Q4" t="s">
        <v>133</v>
      </c>
      <c r="R4" t="s">
        <v>214</v>
      </c>
      <c r="S4">
        <v>2.2754540140285297E-2</v>
      </c>
      <c r="T4">
        <f>RESULTADOS_R!$T$37</f>
        <v>-1.944E-3</v>
      </c>
      <c r="U4">
        <f t="shared" si="1"/>
        <v>2.4698540140285299E-2</v>
      </c>
      <c r="V4" s="3"/>
      <c r="W4" t="s">
        <v>133</v>
      </c>
      <c r="X4" t="s">
        <v>214</v>
      </c>
      <c r="Y4">
        <v>5.2851887945430637E-2</v>
      </c>
      <c r="Z4">
        <f>RESULTADOS_R!$T$38</f>
        <v>-1.799E-3</v>
      </c>
      <c r="AA4">
        <f t="shared" si="2"/>
        <v>5.4650887945430639E-2</v>
      </c>
      <c r="AB4" s="3"/>
      <c r="AC4" t="s">
        <v>133</v>
      </c>
      <c r="AD4" t="s">
        <v>214</v>
      </c>
      <c r="AE4">
        <v>-6.4945764109287894E-3</v>
      </c>
      <c r="AF4">
        <v>5.9926355624837658E-3</v>
      </c>
      <c r="AG4">
        <v>3.4349611944521387E-3</v>
      </c>
      <c r="AL4" s="3"/>
      <c r="AM4" t="s">
        <v>133</v>
      </c>
      <c r="AN4" t="s">
        <v>214</v>
      </c>
      <c r="AO4">
        <v>-5.8758107161327163E-4</v>
      </c>
      <c r="AP4">
        <v>4.963311204809283E-3</v>
      </c>
      <c r="AQ4">
        <v>-8.432947530991614E-5</v>
      </c>
      <c r="AV4" s="3"/>
      <c r="AW4" t="s">
        <v>133</v>
      </c>
      <c r="AX4" t="s">
        <v>214</v>
      </c>
      <c r="AY4">
        <v>-8.1006209505005914E-4</v>
      </c>
      <c r="AZ4">
        <f>RESULTADOS_R!$T$49</f>
        <v>3.5589999999999998E-4</v>
      </c>
      <c r="BA4">
        <f t="shared" si="3"/>
        <v>-1.1659620950500592E-3</v>
      </c>
    </row>
    <row r="5" spans="1:53" x14ac:dyDescent="0.25">
      <c r="A5" t="s">
        <v>133</v>
      </c>
      <c r="B5" t="s">
        <v>215</v>
      </c>
      <c r="C5">
        <v>-1.5411248792590179E-3</v>
      </c>
      <c r="D5">
        <f>RESULTADOS_R!$T$31</f>
        <v>2.8909999999999998E-4</v>
      </c>
      <c r="E5">
        <f t="shared" si="0"/>
        <v>-1.8302248792590179E-3</v>
      </c>
      <c r="F5" s="3"/>
      <c r="G5" t="s">
        <v>133</v>
      </c>
      <c r="H5" t="s">
        <v>215</v>
      </c>
      <c r="I5">
        <v>-3.4792693885335365E-4</v>
      </c>
      <c r="J5">
        <v>0</v>
      </c>
      <c r="K5">
        <v>1.1596219645376226E-4</v>
      </c>
      <c r="L5">
        <v>2.3196474239945303E-4</v>
      </c>
      <c r="P5" s="3"/>
      <c r="Q5" t="s">
        <v>133</v>
      </c>
      <c r="R5" t="s">
        <v>215</v>
      </c>
      <c r="S5">
        <v>-8.1907460733369464E-3</v>
      </c>
      <c r="T5">
        <f>RESULTADOS_R!$T$37</f>
        <v>-1.944E-3</v>
      </c>
      <c r="U5">
        <f t="shared" si="1"/>
        <v>-6.2467460733369468E-3</v>
      </c>
      <c r="V5" s="3"/>
      <c r="W5" t="s">
        <v>133</v>
      </c>
      <c r="X5" t="s">
        <v>215</v>
      </c>
      <c r="Y5">
        <v>-1.2241774445250321E-2</v>
      </c>
      <c r="Z5">
        <f>RESULTADOS_R!$T$38</f>
        <v>-1.799E-3</v>
      </c>
      <c r="AA5">
        <f t="shared" si="2"/>
        <v>-1.0442774445250321E-2</v>
      </c>
      <c r="AB5" s="3"/>
      <c r="AC5" t="s">
        <v>133</v>
      </c>
      <c r="AD5" t="s">
        <v>215</v>
      </c>
      <c r="AE5">
        <v>-2.2110444485335792E-2</v>
      </c>
      <c r="AF5">
        <v>-6.4945764109287894E-3</v>
      </c>
      <c r="AG5">
        <v>5.9926355624837658E-3</v>
      </c>
      <c r="AH5">
        <v>3.4349611944521387E-3</v>
      </c>
      <c r="AL5" s="3"/>
      <c r="AM5" t="s">
        <v>133</v>
      </c>
      <c r="AN5" t="s">
        <v>215</v>
      </c>
      <c r="AO5">
        <v>-3.8058476072968021E-2</v>
      </c>
      <c r="AP5">
        <v>-5.8758107161327163E-4</v>
      </c>
      <c r="AQ5">
        <v>4.963311204809283E-3</v>
      </c>
      <c r="AR5">
        <v>-8.432947530991614E-5</v>
      </c>
      <c r="AV5" s="3"/>
      <c r="AW5" t="s">
        <v>133</v>
      </c>
      <c r="AX5" t="s">
        <v>215</v>
      </c>
      <c r="AY5">
        <v>4.1406140676057464E-3</v>
      </c>
      <c r="AZ5">
        <f>RESULTADOS_R!$T$49</f>
        <v>3.5589999999999998E-4</v>
      </c>
      <c r="BA5">
        <f t="shared" si="3"/>
        <v>3.7847140676057463E-3</v>
      </c>
    </row>
    <row r="6" spans="1:53" x14ac:dyDescent="0.25">
      <c r="A6" t="s">
        <v>133</v>
      </c>
      <c r="B6" t="s">
        <v>216</v>
      </c>
      <c r="C6">
        <v>-9.161603578958474E-3</v>
      </c>
      <c r="D6">
        <f>RESULTADOS_R!$T$31</f>
        <v>2.8909999999999998E-4</v>
      </c>
      <c r="E6">
        <f t="shared" si="0"/>
        <v>-9.4507035789584744E-3</v>
      </c>
      <c r="F6" s="3"/>
      <c r="G6" t="s">
        <v>133</v>
      </c>
      <c r="H6" t="s">
        <v>216</v>
      </c>
      <c r="I6">
        <v>-2.3201856252567157E-4</v>
      </c>
      <c r="J6">
        <v>-3.4792693885335365E-4</v>
      </c>
      <c r="K6">
        <v>0</v>
      </c>
      <c r="L6">
        <v>1.1596219645376226E-4</v>
      </c>
      <c r="M6">
        <v>2.3196474239945303E-4</v>
      </c>
      <c r="N6">
        <f>RESULTADOS_R!$T$32+(RESULTADOS_R!$T$33*I5)+(RESULTADOS_R!$T$34*I4)+(RESULTADOS_R!$T$35*I3)+(RESULTADOS_R!$T$36*I2)</f>
        <v>-3.1965763616301733E-4</v>
      </c>
      <c r="O6">
        <f>I6-N6</f>
        <v>8.7639073637345766E-5</v>
      </c>
      <c r="P6" s="3"/>
      <c r="Q6" t="s">
        <v>133</v>
      </c>
      <c r="R6" t="s">
        <v>216</v>
      </c>
      <c r="S6">
        <v>-1.0854036440187063E-2</v>
      </c>
      <c r="T6">
        <f>RESULTADOS_R!$T$37</f>
        <v>-1.944E-3</v>
      </c>
      <c r="U6">
        <f t="shared" si="1"/>
        <v>-8.9100364401870635E-3</v>
      </c>
      <c r="V6" s="3"/>
      <c r="W6" t="s">
        <v>133</v>
      </c>
      <c r="X6" t="s">
        <v>216</v>
      </c>
      <c r="Y6">
        <v>-4.9582688899327376E-2</v>
      </c>
      <c r="Z6">
        <f>RESULTADOS_R!$T$38</f>
        <v>-1.799E-3</v>
      </c>
      <c r="AA6">
        <f t="shared" si="2"/>
        <v>-4.7783688899327374E-2</v>
      </c>
      <c r="AB6" s="3"/>
      <c r="AC6" t="s">
        <v>133</v>
      </c>
      <c r="AD6" t="s">
        <v>216</v>
      </c>
      <c r="AE6">
        <v>4.390529072253215E-4</v>
      </c>
      <c r="AF6">
        <v>-2.2110444485335792E-2</v>
      </c>
      <c r="AG6">
        <v>-6.4945764109287894E-3</v>
      </c>
      <c r="AH6">
        <v>5.9926355624837658E-3</v>
      </c>
      <c r="AI6">
        <v>3.4349611944521387E-3</v>
      </c>
      <c r="AJ6">
        <f>RESULTADOS_R!$T$39+(RESULTADOS_R!$T$40*AE5)+(RESULTADOS_R!$T$41*AE4)+(RESULTADOS_R!$T$42*AE3)+(RESULTADOS_R!$T$43*AE2)</f>
        <v>-9.4802752371161837E-5</v>
      </c>
      <c r="AK6">
        <f>AE6-AJ6</f>
        <v>5.338556595964833E-4</v>
      </c>
      <c r="AL6" s="3"/>
      <c r="AM6" t="s">
        <v>133</v>
      </c>
      <c r="AN6" t="s">
        <v>216</v>
      </c>
      <c r="AO6">
        <v>-2.3720015502599872E-2</v>
      </c>
      <c r="AP6">
        <v>-3.8058476072968021E-2</v>
      </c>
      <c r="AQ6">
        <v>-5.8758107161327163E-4</v>
      </c>
      <c r="AR6">
        <v>4.963311204809283E-3</v>
      </c>
      <c r="AS6">
        <v>-8.432947530991614E-5</v>
      </c>
      <c r="AT6">
        <f>RESULTADOS_R!$T$44+(RESULTADOS_R!$T$45*AO5)+(RESULTADOS_R!$T$46*AO4)+(RESULTADOS_R!$T$47*AO3)+(RESULTADOS_R!$T$48*AO2)</f>
        <v>-1.0548488779407329E-2</v>
      </c>
      <c r="AU6">
        <f>AO6-AT6</f>
        <v>-1.3171526723192543E-2</v>
      </c>
      <c r="AV6" s="3"/>
      <c r="AW6" t="s">
        <v>133</v>
      </c>
      <c r="AX6" t="s">
        <v>216</v>
      </c>
      <c r="AY6">
        <v>2.8260292707252745E-3</v>
      </c>
      <c r="AZ6">
        <f>RESULTADOS_R!$T$49</f>
        <v>3.5589999999999998E-4</v>
      </c>
      <c r="BA6">
        <f t="shared" si="3"/>
        <v>2.4701292707252744E-3</v>
      </c>
    </row>
    <row r="7" spans="1:53" x14ac:dyDescent="0.25">
      <c r="A7" t="s">
        <v>133</v>
      </c>
      <c r="B7" t="s">
        <v>217</v>
      </c>
      <c r="C7">
        <v>-1.7132160526929691E-2</v>
      </c>
      <c r="D7">
        <f>RESULTADOS_R!$T$31</f>
        <v>2.8909999999999998E-4</v>
      </c>
      <c r="E7">
        <f t="shared" si="0"/>
        <v>-1.7421260526929692E-2</v>
      </c>
      <c r="F7" s="3"/>
      <c r="G7" t="s">
        <v>133</v>
      </c>
      <c r="H7" t="s">
        <v>217</v>
      </c>
      <c r="I7">
        <v>2.3201856252566265E-4</v>
      </c>
      <c r="J7">
        <v>-2.3201856252567157E-4</v>
      </c>
      <c r="K7">
        <v>-3.4792693885335365E-4</v>
      </c>
      <c r="L7">
        <v>0</v>
      </c>
      <c r="M7">
        <v>1.1596219645376226E-4</v>
      </c>
      <c r="N7">
        <f>RESULTADOS_R!$T$32+(RESULTADOS_R!$T$33*I6)+(RESULTADOS_R!$T$34*I5)+(RESULTADOS_R!$T$35*I4)+(RESULTADOS_R!$T$36*I3)</f>
        <v>-2.3073904013001204E-4</v>
      </c>
      <c r="O7">
        <f t="shared" ref="O7:O70" si="4">I7-N7</f>
        <v>4.6275760265567466E-4</v>
      </c>
      <c r="P7" s="3"/>
      <c r="Q7" t="s">
        <v>133</v>
      </c>
      <c r="R7" t="s">
        <v>217</v>
      </c>
      <c r="S7">
        <v>-9.8262378585381366E-2</v>
      </c>
      <c r="T7">
        <f>RESULTADOS_R!$T$37</f>
        <v>-1.944E-3</v>
      </c>
      <c r="U7">
        <f t="shared" si="1"/>
        <v>-9.6318378585381365E-2</v>
      </c>
      <c r="V7" s="3"/>
      <c r="W7" t="s">
        <v>133</v>
      </c>
      <c r="X7" t="s">
        <v>217</v>
      </c>
      <c r="Y7">
        <v>-0.1384963896894903</v>
      </c>
      <c r="Z7">
        <f>RESULTADOS_R!$T$38</f>
        <v>-1.799E-3</v>
      </c>
      <c r="AA7">
        <f t="shared" si="2"/>
        <v>-0.1366973896894903</v>
      </c>
      <c r="AB7" s="3"/>
      <c r="AC7" t="s">
        <v>133</v>
      </c>
      <c r="AD7" t="s">
        <v>217</v>
      </c>
      <c r="AE7">
        <v>5.5258182016506389E-3</v>
      </c>
      <c r="AF7">
        <v>4.390529072253215E-4</v>
      </c>
      <c r="AG7">
        <v>-2.2110444485335792E-2</v>
      </c>
      <c r="AH7">
        <v>-6.4945764109287894E-3</v>
      </c>
      <c r="AI7">
        <v>5.9926355624837658E-3</v>
      </c>
      <c r="AJ7">
        <f>RESULTADOS_R!$T$39+(RESULTADOS_R!$T$40*AE6)+(RESULTADOS_R!$T$41*AE5)+(RESULTADOS_R!$T$42*AE4)+(RESULTADOS_R!$T$43*AE3)</f>
        <v>4.7642329030151299E-3</v>
      </c>
      <c r="AK7">
        <f t="shared" ref="AK7:AK70" si="5">AE7-AJ7</f>
        <v>7.6158529863550907E-4</v>
      </c>
      <c r="AL7" s="3"/>
      <c r="AM7" t="s">
        <v>133</v>
      </c>
      <c r="AN7" t="s">
        <v>217</v>
      </c>
      <c r="AO7">
        <v>-6.6088171092081385E-3</v>
      </c>
      <c r="AP7">
        <v>-2.3720015502599872E-2</v>
      </c>
      <c r="AQ7">
        <v>-3.8058476072968021E-2</v>
      </c>
      <c r="AR7">
        <v>-5.8758107161327163E-4</v>
      </c>
      <c r="AS7">
        <v>4.963311204809283E-3</v>
      </c>
      <c r="AT7">
        <f>RESULTADOS_R!$T$44+(RESULTADOS_R!$T$45*AO6)+(RESULTADOS_R!$T$46*AO5)+(RESULTADOS_R!$T$47*AO4)+(RESULTADOS_R!$T$48*AO3)</f>
        <v>2.3915090880777014E-3</v>
      </c>
      <c r="AU7">
        <f t="shared" ref="AU7:AU70" si="6">AO7-AT7</f>
        <v>-9.0003261972858399E-3</v>
      </c>
      <c r="AV7" s="3"/>
      <c r="AW7" t="s">
        <v>133</v>
      </c>
      <c r="AX7" t="s">
        <v>217</v>
      </c>
      <c r="AY7">
        <v>8.6876785231606451E-4</v>
      </c>
      <c r="AZ7">
        <f>RESULTADOS_R!$T$49</f>
        <v>3.5589999999999998E-4</v>
      </c>
      <c r="BA7">
        <f t="shared" si="3"/>
        <v>5.1286785231606448E-4</v>
      </c>
    </row>
    <row r="8" spans="1:53" x14ac:dyDescent="0.25">
      <c r="A8" t="s">
        <v>133</v>
      </c>
      <c r="B8" t="s">
        <v>218</v>
      </c>
      <c r="C8">
        <v>-8.0349870597761137E-4</v>
      </c>
      <c r="D8">
        <f>RESULTADOS_R!$T$31</f>
        <v>2.8909999999999998E-4</v>
      </c>
      <c r="E8">
        <f t="shared" si="0"/>
        <v>-1.0925987059776114E-3</v>
      </c>
      <c r="F8" s="3"/>
      <c r="G8" t="s">
        <v>133</v>
      </c>
      <c r="H8" t="s">
        <v>218</v>
      </c>
      <c r="I8">
        <v>2.3196474239945303E-4</v>
      </c>
      <c r="J8">
        <v>2.3201856252566265E-4</v>
      </c>
      <c r="K8">
        <v>-2.3201856252567157E-4</v>
      </c>
      <c r="L8">
        <v>-3.4792693885335365E-4</v>
      </c>
      <c r="M8">
        <v>0</v>
      </c>
      <c r="N8">
        <f>RESULTADOS_R!$T$32+(RESULTADOS_R!$T$33*I7)+(RESULTADOS_R!$T$34*I6)+(RESULTADOS_R!$T$35*I5)+(RESULTADOS_R!$T$36*I4)</f>
        <v>-2.2154021844296242E-4</v>
      </c>
      <c r="O8">
        <f t="shared" si="4"/>
        <v>4.5350496084241548E-4</v>
      </c>
      <c r="P8" s="3"/>
      <c r="Q8" t="s">
        <v>133</v>
      </c>
      <c r="R8" t="s">
        <v>218</v>
      </c>
      <c r="S8">
        <v>-5.1488271943979834E-2</v>
      </c>
      <c r="T8">
        <f>RESULTADOS_R!$T$37</f>
        <v>-1.944E-3</v>
      </c>
      <c r="U8">
        <f t="shared" si="1"/>
        <v>-4.9544271943979833E-2</v>
      </c>
      <c r="V8" s="3"/>
      <c r="W8" t="s">
        <v>133</v>
      </c>
      <c r="X8" t="s">
        <v>218</v>
      </c>
      <c r="Y8">
        <v>-6.8014303807795426E-2</v>
      </c>
      <c r="Z8">
        <f>RESULTADOS_R!$T$38</f>
        <v>-1.799E-3</v>
      </c>
      <c r="AA8">
        <f t="shared" si="2"/>
        <v>-6.6215303807795431E-2</v>
      </c>
      <c r="AB8" s="3"/>
      <c r="AC8" t="s">
        <v>133</v>
      </c>
      <c r="AD8" t="s">
        <v>218</v>
      </c>
      <c r="AE8">
        <v>5.8618703631955794E-3</v>
      </c>
      <c r="AF8">
        <v>5.5258182016506389E-3</v>
      </c>
      <c r="AG8">
        <v>4.390529072253215E-4</v>
      </c>
      <c r="AH8">
        <v>-2.2110444485335792E-2</v>
      </c>
      <c r="AI8">
        <v>-6.4945764109287894E-3</v>
      </c>
      <c r="AJ8">
        <f>RESULTADOS_R!$T$39+(RESULTADOS_R!$T$40*AE7)+(RESULTADOS_R!$T$41*AE6)+(RESULTADOS_R!$T$42*AE5)+(RESULTADOS_R!$T$43*AE4)</f>
        <v>3.9667248601105555E-4</v>
      </c>
      <c r="AK8">
        <f t="shared" si="5"/>
        <v>5.4651978771845236E-3</v>
      </c>
      <c r="AL8" s="3"/>
      <c r="AM8" t="s">
        <v>133</v>
      </c>
      <c r="AN8" t="s">
        <v>218</v>
      </c>
      <c r="AO8">
        <v>1.0130575385404043E-2</v>
      </c>
      <c r="AP8">
        <v>-6.6088171092081385E-3</v>
      </c>
      <c r="AQ8">
        <v>-2.3720015502599872E-2</v>
      </c>
      <c r="AR8">
        <v>-3.8058476072968021E-2</v>
      </c>
      <c r="AS8">
        <v>-5.8758107161327163E-4</v>
      </c>
      <c r="AT8">
        <f>RESULTADOS_R!$T$44+(RESULTADOS_R!$T$45*AO7)+(RESULTADOS_R!$T$46*AO6)+(RESULTADOS_R!$T$47*AO5)+(RESULTADOS_R!$T$48*AO4)</f>
        <v>-4.6838863011095105E-3</v>
      </c>
      <c r="AU8">
        <f t="shared" si="6"/>
        <v>1.4814461686513554E-2</v>
      </c>
      <c r="AV8" s="3"/>
      <c r="AW8" t="s">
        <v>133</v>
      </c>
      <c r="AX8" t="s">
        <v>218</v>
      </c>
      <c r="AY8">
        <v>-7.722008105723445E-4</v>
      </c>
      <c r="AZ8">
        <f>RESULTADOS_R!$T$49</f>
        <v>3.5589999999999998E-4</v>
      </c>
      <c r="BA8">
        <f t="shared" si="3"/>
        <v>-1.1281008105723444E-3</v>
      </c>
    </row>
    <row r="9" spans="1:53" x14ac:dyDescent="0.25">
      <c r="A9" t="s">
        <v>133</v>
      </c>
      <c r="B9" t="s">
        <v>219</v>
      </c>
      <c r="C9">
        <v>9.4631440606228433E-3</v>
      </c>
      <c r="D9">
        <f>RESULTADOS_R!$T$31</f>
        <v>2.8909999999999998E-4</v>
      </c>
      <c r="E9">
        <f t="shared" si="0"/>
        <v>9.1740440606228428E-3</v>
      </c>
      <c r="F9" s="3"/>
      <c r="G9" t="s">
        <v>133</v>
      </c>
      <c r="H9" t="s">
        <v>219</v>
      </c>
      <c r="I9">
        <v>-5.8001277654110331E-4</v>
      </c>
      <c r="J9">
        <v>2.3196474239945303E-4</v>
      </c>
      <c r="K9">
        <v>2.3201856252566265E-4</v>
      </c>
      <c r="L9">
        <v>-2.3201856252567157E-4</v>
      </c>
      <c r="M9">
        <v>-3.4792693885335365E-4</v>
      </c>
      <c r="N9">
        <f>RESULTADOS_R!$T$32+(RESULTADOS_R!$T$33*I8)+(RESULTADOS_R!$T$34*I7)+(RESULTADOS_R!$T$35*I6)+(RESULTADOS_R!$T$36*I5)</f>
        <v>-1.7075936477510903E-4</v>
      </c>
      <c r="O9">
        <f t="shared" si="4"/>
        <v>-4.0925341176599429E-4</v>
      </c>
      <c r="P9" s="3"/>
      <c r="Q9" t="s">
        <v>133</v>
      </c>
      <c r="R9" t="s">
        <v>219</v>
      </c>
      <c r="S9">
        <v>6.8399604524100877E-2</v>
      </c>
      <c r="T9">
        <f>RESULTADOS_R!$T$37</f>
        <v>-1.944E-3</v>
      </c>
      <c r="U9">
        <f t="shared" si="1"/>
        <v>7.0343604524100878E-2</v>
      </c>
      <c r="V9" s="3"/>
      <c r="W9" t="s">
        <v>133</v>
      </c>
      <c r="X9" t="s">
        <v>219</v>
      </c>
      <c r="Y9">
        <v>0.10740226866236083</v>
      </c>
      <c r="Z9">
        <f>RESULTADOS_R!$T$38</f>
        <v>-1.799E-3</v>
      </c>
      <c r="AA9">
        <f t="shared" si="2"/>
        <v>0.10920126866236082</v>
      </c>
      <c r="AB9" s="3"/>
      <c r="AC9" t="s">
        <v>133</v>
      </c>
      <c r="AD9" t="s">
        <v>219</v>
      </c>
      <c r="AE9">
        <v>-3.579740480581389E-3</v>
      </c>
      <c r="AF9">
        <v>5.8618703631955794E-3</v>
      </c>
      <c r="AG9">
        <v>5.5258182016506389E-3</v>
      </c>
      <c r="AH9">
        <v>4.390529072253215E-4</v>
      </c>
      <c r="AI9">
        <v>-2.2110444485335792E-2</v>
      </c>
      <c r="AJ9">
        <f>RESULTADOS_R!$T$39+(RESULTADOS_R!$T$40*AE8)+(RESULTADOS_R!$T$41*AE7)+(RESULTADOS_R!$T$42*AE6)+(RESULTADOS_R!$T$43*AE5)</f>
        <v>-9.4244513940881314E-4</v>
      </c>
      <c r="AK9">
        <f t="shared" si="5"/>
        <v>-2.6372953411725759E-3</v>
      </c>
      <c r="AL9" s="3"/>
      <c r="AM9" t="s">
        <v>133</v>
      </c>
      <c r="AN9" t="s">
        <v>219</v>
      </c>
      <c r="AO9">
        <v>8.7725690527387882E-3</v>
      </c>
      <c r="AP9">
        <v>1.0130575385404043E-2</v>
      </c>
      <c r="AQ9">
        <v>-6.6088171092081385E-3</v>
      </c>
      <c r="AR9">
        <v>-2.3720015502599872E-2</v>
      </c>
      <c r="AS9">
        <v>-3.8058476072968021E-2</v>
      </c>
      <c r="AT9">
        <f>RESULTADOS_R!$T$44+(RESULTADOS_R!$T$45*AO8)+(RESULTADOS_R!$T$46*AO7)+(RESULTADOS_R!$T$47*AO6)+(RESULTADOS_R!$T$48*AO5)</f>
        <v>1.3494812610193594E-3</v>
      </c>
      <c r="AU9">
        <f t="shared" si="6"/>
        <v>7.4230877917194288E-3</v>
      </c>
      <c r="AV9" s="3"/>
      <c r="AW9" t="s">
        <v>133</v>
      </c>
      <c r="AX9" t="s">
        <v>219</v>
      </c>
      <c r="AY9">
        <v>2.7642973470134381E-3</v>
      </c>
      <c r="AZ9">
        <f>RESULTADOS_R!$T$49</f>
        <v>3.5589999999999998E-4</v>
      </c>
      <c r="BA9">
        <f t="shared" si="3"/>
        <v>2.408397347013438E-3</v>
      </c>
    </row>
    <row r="10" spans="1:53" x14ac:dyDescent="0.25">
      <c r="A10" t="s">
        <v>133</v>
      </c>
      <c r="B10" t="s">
        <v>220</v>
      </c>
      <c r="C10">
        <v>1.2075311233272733E-2</v>
      </c>
      <c r="D10">
        <f>RESULTADOS_R!$T$31</f>
        <v>2.8909999999999998E-4</v>
      </c>
      <c r="E10">
        <f t="shared" si="0"/>
        <v>1.1786211233272732E-2</v>
      </c>
      <c r="F10" s="3"/>
      <c r="G10" t="s">
        <v>133</v>
      </c>
      <c r="H10" t="s">
        <v>220</v>
      </c>
      <c r="I10">
        <v>-5.8034938660980328E-4</v>
      </c>
      <c r="J10">
        <v>-5.8001277654110331E-4</v>
      </c>
      <c r="K10">
        <v>2.3196474239945303E-4</v>
      </c>
      <c r="L10">
        <v>2.3201856252566265E-4</v>
      </c>
      <c r="M10">
        <v>-2.3201856252567157E-4</v>
      </c>
      <c r="N10">
        <f>RESULTADOS_R!$T$32+(RESULTADOS_R!$T$33*I9)+(RESULTADOS_R!$T$34*I8)+(RESULTADOS_R!$T$35*I7)+(RESULTADOS_R!$T$36*I6)</f>
        <v>-1.7354088887839393E-4</v>
      </c>
      <c r="O10">
        <f t="shared" si="4"/>
        <v>-4.0680849773140935E-4</v>
      </c>
      <c r="P10" s="3"/>
      <c r="Q10" t="s">
        <v>133</v>
      </c>
      <c r="R10" t="s">
        <v>220</v>
      </c>
      <c r="S10">
        <v>2.985624834635393E-2</v>
      </c>
      <c r="T10">
        <f>RESULTADOS_R!$T$37</f>
        <v>-1.944E-3</v>
      </c>
      <c r="U10">
        <f t="shared" si="1"/>
        <v>3.1800248346353928E-2</v>
      </c>
      <c r="V10" s="3"/>
      <c r="W10" t="s">
        <v>133</v>
      </c>
      <c r="X10" t="s">
        <v>220</v>
      </c>
      <c r="Y10">
        <v>2.4917340260236221E-2</v>
      </c>
      <c r="Z10">
        <f>RESULTADOS_R!$T$38</f>
        <v>-1.799E-3</v>
      </c>
      <c r="AA10">
        <f t="shared" si="2"/>
        <v>2.671634026023622E-2</v>
      </c>
      <c r="AB10" s="3"/>
      <c r="AC10" t="s">
        <v>133</v>
      </c>
      <c r="AD10" t="s">
        <v>220</v>
      </c>
      <c r="AE10">
        <v>-1.4437022930284329E-2</v>
      </c>
      <c r="AF10">
        <v>-3.579740480581389E-3</v>
      </c>
      <c r="AG10">
        <v>5.8618703631955794E-3</v>
      </c>
      <c r="AH10">
        <v>5.5258182016506389E-3</v>
      </c>
      <c r="AI10">
        <v>4.390529072253215E-4</v>
      </c>
      <c r="AJ10">
        <f>RESULTADOS_R!$T$39+(RESULTADOS_R!$T$40*AE9)+(RESULTADOS_R!$T$41*AE8)+(RESULTADOS_R!$T$42*AE7)+(RESULTADOS_R!$T$43*AE6)</f>
        <v>-1.0936799116043397E-3</v>
      </c>
      <c r="AK10">
        <f t="shared" si="5"/>
        <v>-1.334334301867999E-2</v>
      </c>
      <c r="AL10" s="3"/>
      <c r="AM10" t="s">
        <v>133</v>
      </c>
      <c r="AN10" t="s">
        <v>220</v>
      </c>
      <c r="AO10">
        <v>-8.0785972375097357E-3</v>
      </c>
      <c r="AP10">
        <v>8.7725690527387882E-3</v>
      </c>
      <c r="AQ10">
        <v>1.0130575385404043E-2</v>
      </c>
      <c r="AR10">
        <v>-6.6088171092081385E-3</v>
      </c>
      <c r="AS10">
        <v>-2.3720015502599872E-2</v>
      </c>
      <c r="AT10">
        <f>RESULTADOS_R!$T$44+(RESULTADOS_R!$T$45*AO9)+(RESULTADOS_R!$T$46*AO8)+(RESULTADOS_R!$T$47*AO7)+(RESULTADOS_R!$T$48*AO6)</f>
        <v>-2.9639211234940704E-4</v>
      </c>
      <c r="AU10">
        <f t="shared" si="6"/>
        <v>-7.7822051251603287E-3</v>
      </c>
      <c r="AV10" s="3"/>
      <c r="AW10" t="s">
        <v>133</v>
      </c>
      <c r="AX10" t="s">
        <v>220</v>
      </c>
      <c r="AY10">
        <v>-4.6006676499567275E-3</v>
      </c>
      <c r="AZ10">
        <f>RESULTADOS_R!$T$49</f>
        <v>3.5589999999999998E-4</v>
      </c>
      <c r="BA10">
        <f t="shared" si="3"/>
        <v>-4.9565676499567276E-3</v>
      </c>
    </row>
    <row r="11" spans="1:53" x14ac:dyDescent="0.25">
      <c r="A11" t="s">
        <v>133</v>
      </c>
      <c r="B11" t="s">
        <v>221</v>
      </c>
      <c r="C11">
        <v>1.4599362467327282E-3</v>
      </c>
      <c r="D11">
        <f>RESULTADOS_R!$T$31</f>
        <v>2.8909999999999998E-4</v>
      </c>
      <c r="E11">
        <f t="shared" si="0"/>
        <v>1.1708362467327282E-3</v>
      </c>
      <c r="F11" s="3"/>
      <c r="G11" t="s">
        <v>133</v>
      </c>
      <c r="H11" t="s">
        <v>221</v>
      </c>
      <c r="I11">
        <v>-3.4837136739722456E-4</v>
      </c>
      <c r="J11">
        <v>-5.8034938660980328E-4</v>
      </c>
      <c r="K11">
        <v>-5.8001277654110331E-4</v>
      </c>
      <c r="L11">
        <v>2.3196474239945303E-4</v>
      </c>
      <c r="M11">
        <v>2.3201856252566265E-4</v>
      </c>
      <c r="N11">
        <f>RESULTADOS_R!$T$32+(RESULTADOS_R!$T$33*I10)+(RESULTADOS_R!$T$34*I9)+(RESULTADOS_R!$T$35*I8)+(RESULTADOS_R!$T$36*I7)</f>
        <v>-2.2540542516323673E-4</v>
      </c>
      <c r="O11">
        <f t="shared" si="4"/>
        <v>-1.2296594223398783E-4</v>
      </c>
      <c r="P11" s="3"/>
      <c r="Q11" t="s">
        <v>133</v>
      </c>
      <c r="R11" t="s">
        <v>221</v>
      </c>
      <c r="S11">
        <v>-4.6862132209225069E-2</v>
      </c>
      <c r="T11">
        <f>RESULTADOS_R!$T$37</f>
        <v>-1.944E-3</v>
      </c>
      <c r="U11">
        <f t="shared" si="1"/>
        <v>-4.4918132209225067E-2</v>
      </c>
      <c r="V11" s="3"/>
      <c r="W11" t="s">
        <v>133</v>
      </c>
      <c r="X11" t="s">
        <v>221</v>
      </c>
      <c r="Y11">
        <v>-7.3582524088816298E-2</v>
      </c>
      <c r="Z11">
        <f>RESULTADOS_R!$T$38</f>
        <v>-1.799E-3</v>
      </c>
      <c r="AA11">
        <f t="shared" si="2"/>
        <v>-7.1783524088816303E-2</v>
      </c>
      <c r="AB11" s="3"/>
      <c r="AC11" t="s">
        <v>133</v>
      </c>
      <c r="AD11" t="s">
        <v>221</v>
      </c>
      <c r="AE11">
        <v>4.1747497231623375E-3</v>
      </c>
      <c r="AF11">
        <v>-1.4437022930284329E-2</v>
      </c>
      <c r="AG11">
        <v>-3.579740480581389E-3</v>
      </c>
      <c r="AH11">
        <v>5.8618703631955794E-3</v>
      </c>
      <c r="AI11">
        <v>5.5258182016506389E-3</v>
      </c>
      <c r="AJ11">
        <f>RESULTADOS_R!$T$39+(RESULTADOS_R!$T$40*AE10)+(RESULTADOS_R!$T$41*AE9)+(RESULTADOS_R!$T$42*AE8)+(RESULTADOS_R!$T$43*AE7)</f>
        <v>1.4280466270609829E-5</v>
      </c>
      <c r="AK11">
        <f t="shared" si="5"/>
        <v>4.1604692568917275E-3</v>
      </c>
      <c r="AL11" s="3"/>
      <c r="AM11" t="s">
        <v>133</v>
      </c>
      <c r="AN11" t="s">
        <v>221</v>
      </c>
      <c r="AO11">
        <v>-3.2114338512354733E-3</v>
      </c>
      <c r="AP11">
        <v>-8.0785972375097357E-3</v>
      </c>
      <c r="AQ11">
        <v>8.7725690527387882E-3</v>
      </c>
      <c r="AR11">
        <v>1.0130575385404043E-2</v>
      </c>
      <c r="AS11">
        <v>-6.6088171092081385E-3</v>
      </c>
      <c r="AT11">
        <f>RESULTADOS_R!$T$44+(RESULTADOS_R!$T$45*AO10)+(RESULTADOS_R!$T$46*AO9)+(RESULTADOS_R!$T$47*AO8)+(RESULTADOS_R!$T$48*AO7)</f>
        <v>-2.1483835643669224E-3</v>
      </c>
      <c r="AU11">
        <f t="shared" si="6"/>
        <v>-1.0630502868685509E-3</v>
      </c>
      <c r="AV11" s="3"/>
      <c r="AW11" t="s">
        <v>133</v>
      </c>
      <c r="AX11" t="s">
        <v>221</v>
      </c>
      <c r="AY11">
        <v>3.1551861333156579E-3</v>
      </c>
      <c r="AZ11">
        <f>RESULTADOS_R!$T$49</f>
        <v>3.5589999999999998E-4</v>
      </c>
      <c r="BA11">
        <f t="shared" si="3"/>
        <v>2.7992861333156578E-3</v>
      </c>
    </row>
    <row r="12" spans="1:53" x14ac:dyDescent="0.25">
      <c r="A12" t="s">
        <v>133</v>
      </c>
      <c r="B12" t="s">
        <v>222</v>
      </c>
      <c r="C12">
        <v>-2.7869570552744717E-3</v>
      </c>
      <c r="D12">
        <f>RESULTADOS_R!$T$31</f>
        <v>2.8909999999999998E-4</v>
      </c>
      <c r="E12">
        <f t="shared" si="0"/>
        <v>-3.0760570552744717E-3</v>
      </c>
      <c r="F12" s="3"/>
      <c r="G12" t="s">
        <v>133</v>
      </c>
      <c r="H12" t="s">
        <v>222</v>
      </c>
      <c r="I12">
        <v>-1.1615076382176398E-4</v>
      </c>
      <c r="J12">
        <v>-3.4837136739722456E-4</v>
      </c>
      <c r="K12">
        <v>-5.8034938660980328E-4</v>
      </c>
      <c r="L12">
        <v>-5.8001277654110331E-4</v>
      </c>
      <c r="M12">
        <v>2.3196474239945303E-4</v>
      </c>
      <c r="N12">
        <f>RESULTADOS_R!$T$32+(RESULTADOS_R!$T$33*I11)+(RESULTADOS_R!$T$34*I10)+(RESULTADOS_R!$T$35*I9)+(RESULTADOS_R!$T$36*I8)</f>
        <v>-1.8612213722575115E-4</v>
      </c>
      <c r="O12">
        <f t="shared" si="4"/>
        <v>6.9971373403987172E-5</v>
      </c>
      <c r="P12" s="3"/>
      <c r="Q12" t="s">
        <v>133</v>
      </c>
      <c r="R12" t="s">
        <v>222</v>
      </c>
      <c r="S12">
        <v>-1.4199860488172544E-2</v>
      </c>
      <c r="T12">
        <f>RESULTADOS_R!$T$37</f>
        <v>-1.944E-3</v>
      </c>
      <c r="U12">
        <f t="shared" si="1"/>
        <v>-1.2255860488172544E-2</v>
      </c>
      <c r="V12" s="3"/>
      <c r="W12" t="s">
        <v>133</v>
      </c>
      <c r="X12" t="s">
        <v>222</v>
      </c>
      <c r="Y12">
        <v>8.4202610057798513E-4</v>
      </c>
      <c r="Z12">
        <f>RESULTADOS_R!$T$38</f>
        <v>-1.799E-3</v>
      </c>
      <c r="AA12">
        <f t="shared" si="2"/>
        <v>2.6410261005779851E-3</v>
      </c>
      <c r="AB12" s="3"/>
      <c r="AC12" t="s">
        <v>133</v>
      </c>
      <c r="AD12" t="s">
        <v>222</v>
      </c>
      <c r="AE12">
        <v>-5.714759222886395E-6</v>
      </c>
      <c r="AF12">
        <v>4.1747497231623375E-3</v>
      </c>
      <c r="AG12">
        <v>-1.4437022930284329E-2</v>
      </c>
      <c r="AH12">
        <v>-3.579740480581389E-3</v>
      </c>
      <c r="AI12">
        <v>5.8618703631955794E-3</v>
      </c>
      <c r="AJ12">
        <f>RESULTADOS_R!$T$39+(RESULTADOS_R!$T$40*AE11)+(RESULTADOS_R!$T$41*AE10)+(RESULTADOS_R!$T$42*AE9)+(RESULTADOS_R!$T$43*AE8)</f>
        <v>3.5829543586853242E-3</v>
      </c>
      <c r="AK12">
        <f t="shared" si="5"/>
        <v>-3.5886691179082106E-3</v>
      </c>
      <c r="AL12" s="3"/>
      <c r="AM12" t="s">
        <v>133</v>
      </c>
      <c r="AN12" t="s">
        <v>222</v>
      </c>
      <c r="AO12">
        <v>1.0429474321640075E-2</v>
      </c>
      <c r="AP12">
        <v>-3.2114338512354733E-3</v>
      </c>
      <c r="AQ12">
        <v>-8.0785972375097357E-3</v>
      </c>
      <c r="AR12">
        <v>8.7725690527387882E-3</v>
      </c>
      <c r="AS12">
        <v>1.0130575385404043E-2</v>
      </c>
      <c r="AT12">
        <f>RESULTADOS_R!$T$44+(RESULTADOS_R!$T$45*AO11)+(RESULTADOS_R!$T$46*AO10)+(RESULTADOS_R!$T$47*AO9)+(RESULTADOS_R!$T$48*AO8)</f>
        <v>2.6663271652653652E-3</v>
      </c>
      <c r="AU12">
        <f t="shared" si="6"/>
        <v>7.7631471563747098E-3</v>
      </c>
      <c r="AV12" s="3"/>
      <c r="AW12" t="s">
        <v>133</v>
      </c>
      <c r="AX12" t="s">
        <v>222</v>
      </c>
      <c r="AY12">
        <v>5.9986076459976341E-4</v>
      </c>
      <c r="AZ12">
        <f>RESULTADOS_R!$T$49</f>
        <v>3.5589999999999998E-4</v>
      </c>
      <c r="BA12">
        <f t="shared" si="3"/>
        <v>2.4396076459976343E-4</v>
      </c>
    </row>
    <row r="13" spans="1:53" x14ac:dyDescent="0.25">
      <c r="A13" t="s">
        <v>133</v>
      </c>
      <c r="B13" t="s">
        <v>223</v>
      </c>
      <c r="C13">
        <v>-2.0578963317533276E-2</v>
      </c>
      <c r="D13">
        <f>RESULTADOS_R!$T$31</f>
        <v>2.8909999999999998E-4</v>
      </c>
      <c r="E13">
        <f t="shared" si="0"/>
        <v>-2.0868063317533277E-2</v>
      </c>
      <c r="F13" s="3"/>
      <c r="G13" t="s">
        <v>133</v>
      </c>
      <c r="H13" t="s">
        <v>223</v>
      </c>
      <c r="I13">
        <v>1.1615076382179625E-4</v>
      </c>
      <c r="J13">
        <v>-1.1615076382176398E-4</v>
      </c>
      <c r="K13">
        <v>-3.4837136739722456E-4</v>
      </c>
      <c r="L13">
        <v>-5.8034938660980328E-4</v>
      </c>
      <c r="M13">
        <v>-5.8001277654110331E-4</v>
      </c>
      <c r="N13">
        <f>RESULTADOS_R!$T$32+(RESULTADOS_R!$T$33*I12)+(RESULTADOS_R!$T$34*I11)+(RESULTADOS_R!$T$35*I10)+(RESULTADOS_R!$T$36*I9)</f>
        <v>5.1684404759843347E-5</v>
      </c>
      <c r="O13">
        <f t="shared" si="4"/>
        <v>6.4466359061952902E-5</v>
      </c>
      <c r="P13" s="3"/>
      <c r="Q13" t="s">
        <v>133</v>
      </c>
      <c r="R13" t="s">
        <v>223</v>
      </c>
      <c r="S13">
        <v>-2.8852324228907527E-2</v>
      </c>
      <c r="T13">
        <f>RESULTADOS_R!$T$37</f>
        <v>-1.944E-3</v>
      </c>
      <c r="U13">
        <f t="shared" si="1"/>
        <v>-2.6908324228907526E-2</v>
      </c>
      <c r="V13" s="3"/>
      <c r="W13" t="s">
        <v>133</v>
      </c>
      <c r="X13" t="s">
        <v>223</v>
      </c>
      <c r="Y13">
        <v>-4.4191979455498263E-2</v>
      </c>
      <c r="Z13">
        <f>RESULTADOS_R!$T$38</f>
        <v>-1.799E-3</v>
      </c>
      <c r="AA13">
        <f t="shared" si="2"/>
        <v>-4.2392979455498261E-2</v>
      </c>
      <c r="AB13" s="3"/>
      <c r="AC13" t="s">
        <v>133</v>
      </c>
      <c r="AD13" t="s">
        <v>223</v>
      </c>
      <c r="AE13">
        <v>-9.2837530540907185E-3</v>
      </c>
      <c r="AF13">
        <v>-5.714759222886395E-6</v>
      </c>
      <c r="AG13">
        <v>4.1747497231623375E-3</v>
      </c>
      <c r="AH13">
        <v>-1.4437022930284329E-2</v>
      </c>
      <c r="AI13">
        <v>-3.579740480581389E-3</v>
      </c>
      <c r="AJ13">
        <f>RESULTADOS_R!$T$39+(RESULTADOS_R!$T$40*AE12)+(RESULTADOS_R!$T$41*AE11)+(RESULTADOS_R!$T$42*AE10)+(RESULTADOS_R!$T$43*AE9)</f>
        <v>-6.6005698428835407E-4</v>
      </c>
      <c r="AK13">
        <f t="shared" si="5"/>
        <v>-8.6236960698023637E-3</v>
      </c>
      <c r="AL13" s="3"/>
      <c r="AM13" t="s">
        <v>133</v>
      </c>
      <c r="AN13" t="s">
        <v>223</v>
      </c>
      <c r="AO13">
        <v>-9.6267628978746484E-3</v>
      </c>
      <c r="AP13">
        <v>1.0429474321640075E-2</v>
      </c>
      <c r="AQ13">
        <v>-3.2114338512354733E-3</v>
      </c>
      <c r="AR13">
        <v>-8.0785972375097357E-3</v>
      </c>
      <c r="AS13">
        <v>8.7725690527387882E-3</v>
      </c>
      <c r="AT13">
        <f>RESULTADOS_R!$T$44+(RESULTADOS_R!$T$45*AO12)+(RESULTADOS_R!$T$46*AO11)+(RESULTADOS_R!$T$47*AO10)+(RESULTADOS_R!$T$48*AO9)</f>
        <v>1.6995188310705823E-3</v>
      </c>
      <c r="AU13">
        <f t="shared" si="6"/>
        <v>-1.1326281728945231E-2</v>
      </c>
      <c r="AV13" s="3"/>
      <c r="AW13" t="s">
        <v>133</v>
      </c>
      <c r="AX13" t="s">
        <v>223</v>
      </c>
      <c r="AY13">
        <v>4.0930011348056074E-3</v>
      </c>
      <c r="AZ13">
        <f>RESULTADOS_R!$T$49</f>
        <v>3.5589999999999998E-4</v>
      </c>
      <c r="BA13">
        <f t="shared" si="3"/>
        <v>3.7371011348056073E-3</v>
      </c>
    </row>
    <row r="14" spans="1:53" x14ac:dyDescent="0.25">
      <c r="A14" t="s">
        <v>133</v>
      </c>
      <c r="B14" t="s">
        <v>224</v>
      </c>
      <c r="C14">
        <v>1.5840041879029705E-3</v>
      </c>
      <c r="D14">
        <f>RESULTADOS_R!$T$31</f>
        <v>2.8909999999999998E-4</v>
      </c>
      <c r="E14">
        <f t="shared" si="0"/>
        <v>1.2949041879029705E-3</v>
      </c>
      <c r="F14" s="3"/>
      <c r="G14" t="s">
        <v>133</v>
      </c>
      <c r="H14" t="s">
        <v>224</v>
      </c>
      <c r="I14">
        <v>3.4837136739722477E-4</v>
      </c>
      <c r="J14">
        <v>1.1615076382179625E-4</v>
      </c>
      <c r="K14">
        <v>-1.1615076382176398E-4</v>
      </c>
      <c r="L14">
        <v>-3.4837136739722456E-4</v>
      </c>
      <c r="M14">
        <v>-5.8034938660980328E-4</v>
      </c>
      <c r="N14">
        <f>RESULTADOS_R!$T$32+(RESULTADOS_R!$T$33*I13)+(RESULTADOS_R!$T$34*I12)+(RESULTADOS_R!$T$35*I11)+(RESULTADOS_R!$T$36*I10)</f>
        <v>-1.9103433426930085E-5</v>
      </c>
      <c r="O14">
        <f t="shared" si="4"/>
        <v>3.6747480082415483E-4</v>
      </c>
      <c r="P14" s="3"/>
      <c r="Q14" t="s">
        <v>133</v>
      </c>
      <c r="R14" t="s">
        <v>224</v>
      </c>
      <c r="S14">
        <v>1.2828888289468791E-2</v>
      </c>
      <c r="T14">
        <f>RESULTADOS_R!$T$37</f>
        <v>-1.944E-3</v>
      </c>
      <c r="U14">
        <f t="shared" si="1"/>
        <v>1.4772888289468791E-2</v>
      </c>
      <c r="V14" s="3"/>
      <c r="W14" t="s">
        <v>133</v>
      </c>
      <c r="X14" t="s">
        <v>224</v>
      </c>
      <c r="Y14">
        <v>1.6199318360084647E-2</v>
      </c>
      <c r="Z14">
        <f>RESULTADOS_R!$T$38</f>
        <v>-1.799E-3</v>
      </c>
      <c r="AA14">
        <f t="shared" si="2"/>
        <v>1.7998318360084645E-2</v>
      </c>
      <c r="AB14" s="3"/>
      <c r="AC14" t="s">
        <v>133</v>
      </c>
      <c r="AD14" t="s">
        <v>224</v>
      </c>
      <c r="AE14">
        <v>-4.375995121110878E-3</v>
      </c>
      <c r="AF14">
        <v>-9.2837530540907185E-3</v>
      </c>
      <c r="AG14">
        <v>-5.714759222886395E-6</v>
      </c>
      <c r="AH14">
        <v>4.1747497231623375E-3</v>
      </c>
      <c r="AI14">
        <v>-1.4437022930284329E-2</v>
      </c>
      <c r="AJ14">
        <f>RESULTADOS_R!$T$39+(RESULTADOS_R!$T$40*AE13)+(RESULTADOS_R!$T$41*AE12)+(RESULTADOS_R!$T$42*AE11)+(RESULTADOS_R!$T$43*AE10)</f>
        <v>-8.4843982507368677E-4</v>
      </c>
      <c r="AK14">
        <f t="shared" si="5"/>
        <v>-3.5275552960371912E-3</v>
      </c>
      <c r="AL14" s="3"/>
      <c r="AM14" t="s">
        <v>133</v>
      </c>
      <c r="AN14" t="s">
        <v>224</v>
      </c>
      <c r="AO14">
        <v>-4.1894279044117085E-2</v>
      </c>
      <c r="AP14">
        <v>-9.6267628978746484E-3</v>
      </c>
      <c r="AQ14">
        <v>1.0429474321640075E-2</v>
      </c>
      <c r="AR14">
        <v>-3.2114338512354733E-3</v>
      </c>
      <c r="AS14">
        <v>-8.0785972375097357E-3</v>
      </c>
      <c r="AT14">
        <f>RESULTADOS_R!$T$44+(RESULTADOS_R!$T$45*AO13)+(RESULTADOS_R!$T$46*AO12)+(RESULTADOS_R!$T$47*AO11)+(RESULTADOS_R!$T$48*AO10)</f>
        <v>-6.1495690550681017E-3</v>
      </c>
      <c r="AU14">
        <f t="shared" si="6"/>
        <v>-3.5744709989048981E-2</v>
      </c>
      <c r="AV14" s="3"/>
      <c r="AW14" t="s">
        <v>133</v>
      </c>
      <c r="AX14" t="s">
        <v>224</v>
      </c>
      <c r="AY14">
        <v>6.0817607609057701E-3</v>
      </c>
      <c r="AZ14">
        <f>RESULTADOS_R!$T$49</f>
        <v>3.5589999999999998E-4</v>
      </c>
      <c r="BA14">
        <f t="shared" si="3"/>
        <v>5.72586076090577E-3</v>
      </c>
    </row>
    <row r="15" spans="1:53" x14ac:dyDescent="0.25">
      <c r="A15" t="s">
        <v>133</v>
      </c>
      <c r="B15" t="s">
        <v>225</v>
      </c>
      <c r="C15">
        <v>-1.1999682465785085E-2</v>
      </c>
      <c r="D15">
        <f>RESULTADOS_R!$T$31</f>
        <v>2.8909999999999998E-4</v>
      </c>
      <c r="E15">
        <f t="shared" si="0"/>
        <v>-1.2288782465785086E-2</v>
      </c>
      <c r="F15" s="3"/>
      <c r="G15" t="s">
        <v>133</v>
      </c>
      <c r="H15" t="s">
        <v>225</v>
      </c>
      <c r="I15">
        <v>2.3218017285654108E-4</v>
      </c>
      <c r="J15">
        <v>3.4837136739722477E-4</v>
      </c>
      <c r="K15">
        <v>1.1615076382179625E-4</v>
      </c>
      <c r="L15">
        <v>-1.1615076382176398E-4</v>
      </c>
      <c r="M15">
        <v>-3.4837136739722456E-4</v>
      </c>
      <c r="N15">
        <f>RESULTADOS_R!$T$32+(RESULTADOS_R!$T$33*I14)+(RESULTADOS_R!$T$34*I13)+(RESULTADOS_R!$T$35*I12)+(RESULTADOS_R!$T$36*I11)</f>
        <v>-1.7330630421643207E-4</v>
      </c>
      <c r="O15">
        <f t="shared" si="4"/>
        <v>4.0548647707297318E-4</v>
      </c>
      <c r="P15" s="3"/>
      <c r="Q15" t="s">
        <v>133</v>
      </c>
      <c r="R15" t="s">
        <v>225</v>
      </c>
      <c r="S15">
        <v>5.2182780288280189E-2</v>
      </c>
      <c r="T15">
        <f>RESULTADOS_R!$T$37</f>
        <v>-1.944E-3</v>
      </c>
      <c r="U15">
        <f t="shared" si="1"/>
        <v>5.4126780288280191E-2</v>
      </c>
      <c r="V15" s="3"/>
      <c r="W15" t="s">
        <v>133</v>
      </c>
      <c r="X15" t="s">
        <v>225</v>
      </c>
      <c r="Y15">
        <v>5.0750491659735705E-2</v>
      </c>
      <c r="Z15">
        <f>RESULTADOS_R!$T$38</f>
        <v>-1.799E-3</v>
      </c>
      <c r="AA15">
        <f t="shared" si="2"/>
        <v>5.2549491659735707E-2</v>
      </c>
      <c r="AB15" s="3"/>
      <c r="AC15" t="s">
        <v>133</v>
      </c>
      <c r="AD15" t="s">
        <v>225</v>
      </c>
      <c r="AE15">
        <v>1.7543957010718848E-2</v>
      </c>
      <c r="AF15">
        <v>-4.375995121110878E-3</v>
      </c>
      <c r="AG15">
        <v>-9.2837530540907185E-3</v>
      </c>
      <c r="AH15">
        <v>-5.714759222886395E-6</v>
      </c>
      <c r="AI15">
        <v>4.1747497231623375E-3</v>
      </c>
      <c r="AJ15">
        <f>RESULTADOS_R!$T$39+(RESULTADOS_R!$T$40*AE14)+(RESULTADOS_R!$T$41*AE13)+(RESULTADOS_R!$T$42*AE12)+(RESULTADOS_R!$T$43*AE11)</f>
        <v>1.864727876472386E-3</v>
      </c>
      <c r="AK15">
        <f t="shared" si="5"/>
        <v>1.5679229134246464E-2</v>
      </c>
      <c r="AL15" s="3"/>
      <c r="AM15" t="s">
        <v>133</v>
      </c>
      <c r="AN15" t="s">
        <v>225</v>
      </c>
      <c r="AO15">
        <v>3.1453478891182447E-2</v>
      </c>
      <c r="AP15">
        <v>-4.1894279044117085E-2</v>
      </c>
      <c r="AQ15">
        <v>-9.6267628978746484E-3</v>
      </c>
      <c r="AR15">
        <v>1.0429474321640075E-2</v>
      </c>
      <c r="AS15">
        <v>-3.2114338512354733E-3</v>
      </c>
      <c r="AT15">
        <f>RESULTADOS_R!$T$44+(RESULTADOS_R!$T$45*AO14)+(RESULTADOS_R!$T$46*AO13)+(RESULTADOS_R!$T$47*AO12)+(RESULTADOS_R!$T$48*AO11)</f>
        <v>-7.8562805989845722E-3</v>
      </c>
      <c r="AU15">
        <f t="shared" si="6"/>
        <v>3.9309759490167018E-2</v>
      </c>
      <c r="AV15" s="3"/>
      <c r="AW15" t="s">
        <v>133</v>
      </c>
      <c r="AX15" t="s">
        <v>225</v>
      </c>
      <c r="AY15">
        <v>-1.1454754975288675E-3</v>
      </c>
      <c r="AZ15">
        <f>RESULTADOS_R!$T$49</f>
        <v>3.5589999999999998E-4</v>
      </c>
      <c r="BA15">
        <f t="shared" si="3"/>
        <v>-1.5013754975288674E-3</v>
      </c>
    </row>
    <row r="16" spans="1:53" x14ac:dyDescent="0.25">
      <c r="A16" t="s">
        <v>133</v>
      </c>
      <c r="B16" t="s">
        <v>226</v>
      </c>
      <c r="C16">
        <v>1.1426057715357414E-2</v>
      </c>
      <c r="D16">
        <f>RESULTADOS_R!$T$31</f>
        <v>2.8909999999999998E-4</v>
      </c>
      <c r="E16">
        <f t="shared" si="0"/>
        <v>1.1136957715357413E-2</v>
      </c>
      <c r="F16" s="3"/>
      <c r="G16" t="s">
        <v>133</v>
      </c>
      <c r="H16" t="s">
        <v>226</v>
      </c>
      <c r="I16">
        <v>3.4816921375343027E-4</v>
      </c>
      <c r="J16">
        <v>2.3218017285654108E-4</v>
      </c>
      <c r="K16">
        <v>3.4837136739722477E-4</v>
      </c>
      <c r="L16">
        <v>1.1615076382179625E-4</v>
      </c>
      <c r="M16">
        <v>-1.1615076382176398E-4</v>
      </c>
      <c r="N16">
        <f>RESULTADOS_R!$T$32+(RESULTADOS_R!$T$33*I15)+(RESULTADOS_R!$T$34*I14)+(RESULTADOS_R!$T$35*I13)+(RESULTADOS_R!$T$36*I12)</f>
        <v>-2.9619099175989138E-4</v>
      </c>
      <c r="O16">
        <f t="shared" si="4"/>
        <v>6.4436020551332171E-4</v>
      </c>
      <c r="P16" s="3"/>
      <c r="Q16" t="s">
        <v>133</v>
      </c>
      <c r="R16" t="s">
        <v>226</v>
      </c>
      <c r="S16">
        <v>9.4208390031785688E-2</v>
      </c>
      <c r="T16">
        <f>RESULTADOS_R!$T$37</f>
        <v>-1.944E-3</v>
      </c>
      <c r="U16">
        <f t="shared" si="1"/>
        <v>9.6152390031785689E-2</v>
      </c>
      <c r="V16" s="3"/>
      <c r="W16" t="s">
        <v>133</v>
      </c>
      <c r="X16" t="s">
        <v>226</v>
      </c>
      <c r="Y16">
        <v>9.7025662020374603E-2</v>
      </c>
      <c r="Z16">
        <f>RESULTADOS_R!$T$38</f>
        <v>-1.799E-3</v>
      </c>
      <c r="AA16">
        <f t="shared" si="2"/>
        <v>9.8824662020374598E-2</v>
      </c>
      <c r="AB16" s="3"/>
      <c r="AC16" t="s">
        <v>133</v>
      </c>
      <c r="AD16" t="s">
        <v>226</v>
      </c>
      <c r="AE16">
        <v>2.1040547764900682E-3</v>
      </c>
      <c r="AF16">
        <v>1.7543957010718848E-2</v>
      </c>
      <c r="AG16">
        <v>-4.375995121110878E-3</v>
      </c>
      <c r="AH16">
        <v>-9.2837530540907185E-3</v>
      </c>
      <c r="AI16">
        <v>-5.714759222886395E-6</v>
      </c>
      <c r="AJ16">
        <f>RESULTADOS_R!$T$39+(RESULTADOS_R!$T$40*AE15)+(RESULTADOS_R!$T$41*AE14)+(RESULTADOS_R!$T$42*AE13)+(RESULTADOS_R!$T$43*AE12)</f>
        <v>2.5165090094897641E-3</v>
      </c>
      <c r="AK16">
        <f t="shared" si="5"/>
        <v>-4.1245423299969596E-4</v>
      </c>
      <c r="AL16" s="3"/>
      <c r="AM16" t="s">
        <v>133</v>
      </c>
      <c r="AN16" t="s">
        <v>226</v>
      </c>
      <c r="AO16">
        <v>1.4311514393255946E-2</v>
      </c>
      <c r="AP16">
        <v>3.1453478891182447E-2</v>
      </c>
      <c r="AQ16">
        <v>-4.1894279044117085E-2</v>
      </c>
      <c r="AR16">
        <v>-9.6267628978746484E-3</v>
      </c>
      <c r="AS16">
        <v>1.0429474321640075E-2</v>
      </c>
      <c r="AT16">
        <f>RESULTADOS_R!$T$44+(RESULTADOS_R!$T$45*AO15)+(RESULTADOS_R!$T$46*AO14)+(RESULTADOS_R!$T$47*AO13)+(RESULTADOS_R!$T$48*AO12)</f>
        <v>1.8176567068348339E-2</v>
      </c>
      <c r="AU16">
        <f t="shared" si="6"/>
        <v>-3.8650526750923925E-3</v>
      </c>
      <c r="AV16" s="3"/>
      <c r="AW16" t="s">
        <v>133</v>
      </c>
      <c r="AX16" t="s">
        <v>226</v>
      </c>
      <c r="AY16">
        <v>-2.0715488246233938E-3</v>
      </c>
      <c r="AZ16">
        <f>RESULTADOS_R!$T$49</f>
        <v>3.5589999999999998E-4</v>
      </c>
      <c r="BA16">
        <f t="shared" si="3"/>
        <v>-2.4274488246233939E-3</v>
      </c>
    </row>
    <row r="17" spans="1:53" x14ac:dyDescent="0.25">
      <c r="A17" t="s">
        <v>133</v>
      </c>
      <c r="B17" t="s">
        <v>227</v>
      </c>
      <c r="C17">
        <v>-1.3052452125907945E-2</v>
      </c>
      <c r="D17">
        <f>RESULTADOS_R!$T$31</f>
        <v>2.8909999999999998E-4</v>
      </c>
      <c r="E17">
        <f t="shared" si="0"/>
        <v>-1.3341552125907945E-2</v>
      </c>
      <c r="F17" s="3"/>
      <c r="G17" t="s">
        <v>133</v>
      </c>
      <c r="H17" t="s">
        <v>227</v>
      </c>
      <c r="I17">
        <v>-4.6425256172751011E-4</v>
      </c>
      <c r="J17">
        <v>3.4816921375343027E-4</v>
      </c>
      <c r="K17">
        <v>2.3218017285654108E-4</v>
      </c>
      <c r="L17">
        <v>3.4837136739722477E-4</v>
      </c>
      <c r="M17">
        <v>1.1615076382179625E-4</v>
      </c>
      <c r="N17">
        <f>RESULTADOS_R!$T$32+(RESULTADOS_R!$T$33*I16)+(RESULTADOS_R!$T$34*I15)+(RESULTADOS_R!$T$35*I14)+(RESULTADOS_R!$T$36*I13)</f>
        <v>-3.9081774125956876E-4</v>
      </c>
      <c r="O17">
        <f t="shared" si="4"/>
        <v>-7.3434820467941351E-5</v>
      </c>
      <c r="P17" s="3"/>
      <c r="Q17" t="s">
        <v>133</v>
      </c>
      <c r="R17" t="s">
        <v>227</v>
      </c>
      <c r="S17">
        <v>2.0487432152640719E-2</v>
      </c>
      <c r="T17">
        <f>RESULTADOS_R!$T$37</f>
        <v>-1.944E-3</v>
      </c>
      <c r="U17">
        <f t="shared" si="1"/>
        <v>2.2431432152640721E-2</v>
      </c>
      <c r="V17" s="3"/>
      <c r="W17" t="s">
        <v>133</v>
      </c>
      <c r="X17" t="s">
        <v>227</v>
      </c>
      <c r="Y17">
        <v>2.170462175470194E-2</v>
      </c>
      <c r="Z17">
        <f>RESULTADOS_R!$T$38</f>
        <v>-1.799E-3</v>
      </c>
      <c r="AA17">
        <f t="shared" si="2"/>
        <v>2.3503621754701939E-2</v>
      </c>
      <c r="AB17" s="3"/>
      <c r="AC17" t="s">
        <v>133</v>
      </c>
      <c r="AD17" t="s">
        <v>227</v>
      </c>
      <c r="AE17">
        <v>5.1843385133063576E-3</v>
      </c>
      <c r="AF17">
        <v>2.1040547764900682E-3</v>
      </c>
      <c r="AG17">
        <v>1.7543957010718848E-2</v>
      </c>
      <c r="AH17">
        <v>-4.375995121110878E-3</v>
      </c>
      <c r="AI17">
        <v>-9.2837530540907185E-3</v>
      </c>
      <c r="AJ17">
        <f>RESULTADOS_R!$T$39+(RESULTADOS_R!$T$40*AE16)+(RESULTADOS_R!$T$41*AE15)+(RESULTADOS_R!$T$42*AE14)+(RESULTADOS_R!$T$43*AE13)</f>
        <v>-3.2125459384188529E-3</v>
      </c>
      <c r="AK17">
        <f t="shared" si="5"/>
        <v>8.3968844517252096E-3</v>
      </c>
      <c r="AL17" s="3"/>
      <c r="AM17" t="s">
        <v>133</v>
      </c>
      <c r="AN17" t="s">
        <v>227</v>
      </c>
      <c r="AO17">
        <v>6.1577339756179045E-3</v>
      </c>
      <c r="AP17">
        <v>1.4311514393255946E-2</v>
      </c>
      <c r="AQ17">
        <v>3.1453478891182447E-2</v>
      </c>
      <c r="AR17">
        <v>-4.1894279044117085E-2</v>
      </c>
      <c r="AS17">
        <v>-9.6267628978746484E-3</v>
      </c>
      <c r="AT17">
        <f>RESULTADOS_R!$T$44+(RESULTADOS_R!$T$45*AO16)+(RESULTADOS_R!$T$46*AO15)+(RESULTADOS_R!$T$47*AO14)+(RESULTADOS_R!$T$48*AO13)</f>
        <v>-1.3395344034415934E-2</v>
      </c>
      <c r="AU17">
        <f t="shared" si="6"/>
        <v>1.9553078010033836E-2</v>
      </c>
      <c r="AV17" s="3"/>
      <c r="AW17" t="s">
        <v>133</v>
      </c>
      <c r="AX17" t="s">
        <v>227</v>
      </c>
      <c r="AY17">
        <v>-2.7580936599681171E-3</v>
      </c>
      <c r="AZ17">
        <f>RESULTADOS_R!$T$49</f>
        <v>3.5589999999999998E-4</v>
      </c>
      <c r="BA17">
        <f t="shared" si="3"/>
        <v>-3.1139936599681173E-3</v>
      </c>
    </row>
    <row r="18" spans="1:53" x14ac:dyDescent="0.25">
      <c r="A18" t="s">
        <v>133</v>
      </c>
      <c r="B18" t="s">
        <v>228</v>
      </c>
      <c r="C18">
        <v>1.0455555450053496E-2</v>
      </c>
      <c r="D18">
        <f>RESULTADOS_R!$T$31</f>
        <v>2.8909999999999998E-4</v>
      </c>
      <c r="E18">
        <f t="shared" si="0"/>
        <v>1.0166455450053496E-2</v>
      </c>
      <c r="F18" s="3"/>
      <c r="G18" t="s">
        <v>133</v>
      </c>
      <c r="H18" t="s">
        <v>228</v>
      </c>
      <c r="I18">
        <v>-1.1609682488231944E-4</v>
      </c>
      <c r="J18">
        <v>-4.6425256172751011E-4</v>
      </c>
      <c r="K18">
        <v>3.4816921375343027E-4</v>
      </c>
      <c r="L18">
        <v>2.3218017285654108E-4</v>
      </c>
      <c r="M18">
        <v>3.4837136739722477E-4</v>
      </c>
      <c r="N18">
        <f>RESULTADOS_R!$T$32+(RESULTADOS_R!$T$33*I17)+(RESULTADOS_R!$T$34*I16)+(RESULTADOS_R!$T$35*I15)+(RESULTADOS_R!$T$36*I14)</f>
        <v>-4.0873683461797519E-4</v>
      </c>
      <c r="O18">
        <f t="shared" si="4"/>
        <v>2.9264000973565574E-4</v>
      </c>
      <c r="P18" s="3"/>
      <c r="Q18" t="s">
        <v>133</v>
      </c>
      <c r="R18" t="s">
        <v>228</v>
      </c>
      <c r="S18">
        <v>4.7747662433157353E-2</v>
      </c>
      <c r="T18">
        <f>RESULTADOS_R!$T$37</f>
        <v>-1.944E-3</v>
      </c>
      <c r="U18">
        <f t="shared" si="1"/>
        <v>4.9691662433157355E-2</v>
      </c>
      <c r="V18" s="3"/>
      <c r="W18" t="s">
        <v>133</v>
      </c>
      <c r="X18" t="s">
        <v>228</v>
      </c>
      <c r="Y18">
        <v>4.0137925477387745E-2</v>
      </c>
      <c r="Z18">
        <f>RESULTADOS_R!$T$38</f>
        <v>-1.799E-3</v>
      </c>
      <c r="AA18">
        <f t="shared" si="2"/>
        <v>4.1936925477387747E-2</v>
      </c>
      <c r="AB18" s="3"/>
      <c r="AC18" t="s">
        <v>133</v>
      </c>
      <c r="AD18" t="s">
        <v>228</v>
      </c>
      <c r="AE18">
        <v>-5.4115905822780903E-3</v>
      </c>
      <c r="AF18">
        <v>5.1843385133063576E-3</v>
      </c>
      <c r="AG18">
        <v>2.1040547764900682E-3</v>
      </c>
      <c r="AH18">
        <v>1.7543957010718848E-2</v>
      </c>
      <c r="AI18">
        <v>-4.375995121110878E-3</v>
      </c>
      <c r="AJ18">
        <f>RESULTADOS_R!$T$39+(RESULTADOS_R!$T$40*AE17)+(RESULTADOS_R!$T$41*AE16)+(RESULTADOS_R!$T$42*AE15)+(RESULTADOS_R!$T$43*AE14)</f>
        <v>2.3199901158271348E-4</v>
      </c>
      <c r="AK18">
        <f t="shared" si="5"/>
        <v>-5.6435895938608035E-3</v>
      </c>
      <c r="AL18" s="3"/>
      <c r="AM18" t="s">
        <v>133</v>
      </c>
      <c r="AN18" t="s">
        <v>228</v>
      </c>
      <c r="AO18">
        <v>3.9718352752893242E-5</v>
      </c>
      <c r="AP18">
        <v>6.1577339756179045E-3</v>
      </c>
      <c r="AQ18">
        <v>1.4311514393255946E-2</v>
      </c>
      <c r="AR18">
        <v>3.1453478891182447E-2</v>
      </c>
      <c r="AS18">
        <v>-4.1894279044117085E-2</v>
      </c>
      <c r="AT18">
        <f>RESULTADOS_R!$T$44+(RESULTADOS_R!$T$45*AO17)+(RESULTADOS_R!$T$46*AO16)+(RESULTADOS_R!$T$47*AO15)+(RESULTADOS_R!$T$48*AO14)</f>
        <v>7.7443462524674246E-3</v>
      </c>
      <c r="AU18">
        <f t="shared" si="6"/>
        <v>-7.7046278997145315E-3</v>
      </c>
      <c r="AV18" s="3"/>
      <c r="AW18" t="s">
        <v>133</v>
      </c>
      <c r="AX18" t="s">
        <v>228</v>
      </c>
      <c r="AY18">
        <v>2.1198297161682837E-3</v>
      </c>
      <c r="AZ18">
        <f>RESULTADOS_R!$T$49</f>
        <v>3.5589999999999998E-4</v>
      </c>
      <c r="BA18">
        <f t="shared" si="3"/>
        <v>1.7639297161682838E-3</v>
      </c>
    </row>
    <row r="19" spans="1:53" x14ac:dyDescent="0.25">
      <c r="A19" t="s">
        <v>133</v>
      </c>
      <c r="B19" t="s">
        <v>229</v>
      </c>
      <c r="C19">
        <v>4.1105542820142147E-3</v>
      </c>
      <c r="D19">
        <f>RESULTADOS_R!$T$31</f>
        <v>2.8909999999999998E-4</v>
      </c>
      <c r="E19">
        <f t="shared" si="0"/>
        <v>3.8214542820142147E-3</v>
      </c>
      <c r="F19" s="3"/>
      <c r="G19" t="s">
        <v>133</v>
      </c>
      <c r="H19" t="s">
        <v>229</v>
      </c>
      <c r="I19">
        <v>-1.1611030491986927E-4</v>
      </c>
      <c r="J19">
        <v>-1.1609682488231944E-4</v>
      </c>
      <c r="K19">
        <v>-4.6425256172751011E-4</v>
      </c>
      <c r="L19">
        <v>3.4816921375343027E-4</v>
      </c>
      <c r="M19">
        <v>2.3218017285654108E-4</v>
      </c>
      <c r="N19">
        <f>RESULTADOS_R!$T$32+(RESULTADOS_R!$T$33*I18)+(RESULTADOS_R!$T$34*I17)+(RESULTADOS_R!$T$35*I16)+(RESULTADOS_R!$T$36*I15)</f>
        <v>-2.9225617189484825E-4</v>
      </c>
      <c r="O19">
        <f t="shared" si="4"/>
        <v>1.7614586697497898E-4</v>
      </c>
      <c r="P19" s="3"/>
      <c r="Q19" t="s">
        <v>133</v>
      </c>
      <c r="R19" t="s">
        <v>229</v>
      </c>
      <c r="S19">
        <v>7.201407489813734E-2</v>
      </c>
      <c r="T19">
        <f>RESULTADOS_R!$T$37</f>
        <v>-1.944E-3</v>
      </c>
      <c r="U19">
        <f t="shared" si="1"/>
        <v>7.3958074898137341E-2</v>
      </c>
      <c r="V19" s="3"/>
      <c r="W19" t="s">
        <v>133</v>
      </c>
      <c r="X19" t="s">
        <v>229</v>
      </c>
      <c r="Y19">
        <v>1.7479759781329835E-2</v>
      </c>
      <c r="Z19">
        <f>RESULTADOS_R!$T$38</f>
        <v>-1.799E-3</v>
      </c>
      <c r="AA19">
        <f t="shared" si="2"/>
        <v>1.9278759781329834E-2</v>
      </c>
      <c r="AB19" s="3"/>
      <c r="AC19" t="s">
        <v>133</v>
      </c>
      <c r="AD19" t="s">
        <v>229</v>
      </c>
      <c r="AE19">
        <v>1.4308266031077183E-3</v>
      </c>
      <c r="AF19">
        <v>-5.4115905822780903E-3</v>
      </c>
      <c r="AG19">
        <v>5.1843385133063576E-3</v>
      </c>
      <c r="AH19">
        <v>2.1040547764900682E-3</v>
      </c>
      <c r="AI19">
        <v>1.7543957010718848E-2</v>
      </c>
      <c r="AJ19">
        <f>RESULTADOS_R!$T$39+(RESULTADOS_R!$T$40*AE18)+(RESULTADOS_R!$T$41*AE17)+(RESULTADOS_R!$T$42*AE16)+(RESULTADOS_R!$T$43*AE15)</f>
        <v>-6.2473967191288126E-4</v>
      </c>
      <c r="AK19">
        <f t="shared" si="5"/>
        <v>2.0555662750205996E-3</v>
      </c>
      <c r="AL19" s="3"/>
      <c r="AM19" t="s">
        <v>133</v>
      </c>
      <c r="AN19" t="s">
        <v>229</v>
      </c>
      <c r="AO19">
        <v>-2.9168712951231344E-3</v>
      </c>
      <c r="AP19">
        <v>3.9718352752893242E-5</v>
      </c>
      <c r="AQ19">
        <v>6.1577339756179045E-3</v>
      </c>
      <c r="AR19">
        <v>1.4311514393255946E-2</v>
      </c>
      <c r="AS19">
        <v>3.1453478891182447E-2</v>
      </c>
      <c r="AT19">
        <f>RESULTADOS_R!$T$44+(RESULTADOS_R!$T$45*AO18)+(RESULTADOS_R!$T$46*AO17)+(RESULTADOS_R!$T$47*AO16)+(RESULTADOS_R!$T$48*AO15)</f>
        <v>1.5851235517373502E-5</v>
      </c>
      <c r="AU19">
        <f t="shared" si="6"/>
        <v>-2.9327225306405077E-3</v>
      </c>
      <c r="AV19" s="3"/>
      <c r="AW19" t="s">
        <v>133</v>
      </c>
      <c r="AX19" t="s">
        <v>229</v>
      </c>
      <c r="AY19">
        <v>3.0917837432737571E-3</v>
      </c>
      <c r="AZ19">
        <f>RESULTADOS_R!$T$49</f>
        <v>3.5589999999999998E-4</v>
      </c>
      <c r="BA19">
        <f t="shared" si="3"/>
        <v>2.7358837432737569E-3</v>
      </c>
    </row>
    <row r="20" spans="1:53" x14ac:dyDescent="0.25">
      <c r="A20" t="s">
        <v>133</v>
      </c>
      <c r="B20" t="s">
        <v>230</v>
      </c>
      <c r="C20">
        <v>8.2616806042070251E-3</v>
      </c>
      <c r="D20">
        <f>RESULTADOS_R!$T$31</f>
        <v>2.8909999999999998E-4</v>
      </c>
      <c r="E20">
        <f t="shared" si="0"/>
        <v>7.9725806042070246E-3</v>
      </c>
      <c r="F20" s="3"/>
      <c r="G20" t="s">
        <v>133</v>
      </c>
      <c r="H20" t="s">
        <v>230</v>
      </c>
      <c r="I20">
        <v>-3.4841182629903519E-4</v>
      </c>
      <c r="J20">
        <v>-1.1611030491986927E-4</v>
      </c>
      <c r="K20">
        <v>-1.1609682488231944E-4</v>
      </c>
      <c r="L20">
        <v>-4.6425256172751011E-4</v>
      </c>
      <c r="M20">
        <v>3.4816921375343027E-4</v>
      </c>
      <c r="N20">
        <f>RESULTADOS_R!$T$32+(RESULTADOS_R!$T$33*I19)+(RESULTADOS_R!$T$34*I18)+(RESULTADOS_R!$T$35*I17)+(RESULTADOS_R!$T$36*I16)</f>
        <v>-3.2290475160449007E-4</v>
      </c>
      <c r="O20">
        <f t="shared" si="4"/>
        <v>-2.5507074694545117E-5</v>
      </c>
      <c r="P20" s="3"/>
      <c r="Q20" t="s">
        <v>133</v>
      </c>
      <c r="R20" t="s">
        <v>230</v>
      </c>
      <c r="S20">
        <v>-2.8498783472744201E-2</v>
      </c>
      <c r="T20">
        <f>RESULTADOS_R!$T$37</f>
        <v>-1.944E-3</v>
      </c>
      <c r="U20">
        <f t="shared" si="1"/>
        <v>-2.65547834727442E-2</v>
      </c>
      <c r="V20" s="3"/>
      <c r="W20" t="s">
        <v>133</v>
      </c>
      <c r="X20" t="s">
        <v>230</v>
      </c>
      <c r="Y20">
        <v>2.0681268217232992E-3</v>
      </c>
      <c r="Z20">
        <f>RESULTADOS_R!$T$38</f>
        <v>-1.799E-3</v>
      </c>
      <c r="AA20">
        <f t="shared" si="2"/>
        <v>3.867126821723299E-3</v>
      </c>
      <c r="AB20" s="3"/>
      <c r="AC20" t="s">
        <v>133</v>
      </c>
      <c r="AD20" t="s">
        <v>230</v>
      </c>
      <c r="AE20">
        <v>-4.0878226900841483E-3</v>
      </c>
      <c r="AF20">
        <v>1.4308266031077183E-3</v>
      </c>
      <c r="AG20">
        <v>-5.4115905822780903E-3</v>
      </c>
      <c r="AH20">
        <v>5.1843385133063576E-3</v>
      </c>
      <c r="AI20">
        <v>2.1040547764900682E-3</v>
      </c>
      <c r="AJ20">
        <f>RESULTADOS_R!$T$39+(RESULTADOS_R!$T$40*AE19)+(RESULTADOS_R!$T$41*AE18)+(RESULTADOS_R!$T$42*AE17)+(RESULTADOS_R!$T$43*AE16)</f>
        <v>1.5355758044566803E-3</v>
      </c>
      <c r="AK20">
        <f t="shared" si="5"/>
        <v>-5.6233984945408284E-3</v>
      </c>
      <c r="AL20" s="3"/>
      <c r="AM20" t="s">
        <v>133</v>
      </c>
      <c r="AN20" t="s">
        <v>230</v>
      </c>
      <c r="AO20">
        <v>-6.4196931820582545E-4</v>
      </c>
      <c r="AP20">
        <v>-2.9168712951231344E-3</v>
      </c>
      <c r="AQ20">
        <v>3.9718352752893242E-5</v>
      </c>
      <c r="AR20">
        <v>6.1577339756179045E-3</v>
      </c>
      <c r="AS20">
        <v>1.4311514393255946E-2</v>
      </c>
      <c r="AT20">
        <f>RESULTADOS_R!$T$44+(RESULTADOS_R!$T$45*AO19)+(RESULTADOS_R!$T$46*AO18)+(RESULTADOS_R!$T$47*AO17)+(RESULTADOS_R!$T$48*AO16)</f>
        <v>-2.647812617777997E-4</v>
      </c>
      <c r="AU20">
        <f t="shared" si="6"/>
        <v>-3.7718805642802575E-4</v>
      </c>
      <c r="AV20" s="3"/>
      <c r="AW20" t="s">
        <v>133</v>
      </c>
      <c r="AX20" t="s">
        <v>230</v>
      </c>
      <c r="AY20">
        <v>-5.1994080212948933E-4</v>
      </c>
      <c r="AZ20">
        <f>RESULTADOS_R!$T$49</f>
        <v>3.5589999999999998E-4</v>
      </c>
      <c r="BA20">
        <f t="shared" si="3"/>
        <v>-8.7584080212948926E-4</v>
      </c>
    </row>
    <row r="21" spans="1:53" x14ac:dyDescent="0.25">
      <c r="A21" t="s">
        <v>133</v>
      </c>
      <c r="B21" t="s">
        <v>231</v>
      </c>
      <c r="C21">
        <v>-1.9337745330621106E-3</v>
      </c>
      <c r="D21">
        <f>RESULTADOS_R!$T$31</f>
        <v>2.8909999999999998E-4</v>
      </c>
      <c r="E21">
        <f t="shared" si="0"/>
        <v>-2.2228745330621106E-3</v>
      </c>
      <c r="F21" s="3"/>
      <c r="G21" t="s">
        <v>133</v>
      </c>
      <c r="H21" t="s">
        <v>231</v>
      </c>
      <c r="I21">
        <v>-3.4853325940973387E-4</v>
      </c>
      <c r="J21">
        <v>-3.4841182629903519E-4</v>
      </c>
      <c r="K21">
        <v>-1.1611030491986927E-4</v>
      </c>
      <c r="L21">
        <v>-1.1609682488231944E-4</v>
      </c>
      <c r="M21">
        <v>-4.6425256172751011E-4</v>
      </c>
      <c r="N21">
        <f>RESULTADOS_R!$T$32+(RESULTADOS_R!$T$33*I20)+(RESULTADOS_R!$T$34*I19)+(RESULTADOS_R!$T$35*I18)+(RESULTADOS_R!$T$36*I17)</f>
        <v>-3.6115029926525832E-5</v>
      </c>
      <c r="O21">
        <f t="shared" si="4"/>
        <v>-3.1241822948320801E-4</v>
      </c>
      <c r="P21" s="3"/>
      <c r="Q21" t="s">
        <v>133</v>
      </c>
      <c r="R21" t="s">
        <v>231</v>
      </c>
      <c r="S21">
        <v>3.0037296020950276E-3</v>
      </c>
      <c r="T21">
        <f>RESULTADOS_R!$T$37</f>
        <v>-1.944E-3</v>
      </c>
      <c r="U21">
        <f t="shared" si="1"/>
        <v>4.947729602095028E-3</v>
      </c>
      <c r="V21" s="3"/>
      <c r="W21" t="s">
        <v>133</v>
      </c>
      <c r="X21" t="s">
        <v>231</v>
      </c>
      <c r="Y21">
        <v>-6.7719636602658461E-3</v>
      </c>
      <c r="Z21">
        <f>RESULTADOS_R!$T$38</f>
        <v>-1.799E-3</v>
      </c>
      <c r="AA21">
        <f t="shared" si="2"/>
        <v>-4.9729636602658459E-3</v>
      </c>
      <c r="AB21" s="3"/>
      <c r="AC21" t="s">
        <v>133</v>
      </c>
      <c r="AD21" t="s">
        <v>231</v>
      </c>
      <c r="AE21">
        <v>7.8588598447925078E-4</v>
      </c>
      <c r="AF21">
        <v>-4.0878226900841483E-3</v>
      </c>
      <c r="AG21">
        <v>1.4308266031077183E-3</v>
      </c>
      <c r="AH21">
        <v>-5.4115905822780903E-3</v>
      </c>
      <c r="AI21">
        <v>5.1843385133063576E-3</v>
      </c>
      <c r="AJ21">
        <f>RESULTADOS_R!$T$39+(RESULTADOS_R!$T$40*AE20)+(RESULTADOS_R!$T$41*AE19)+(RESULTADOS_R!$T$42*AE18)+(RESULTADOS_R!$T$43*AE17)</f>
        <v>-1.7351718205260163E-4</v>
      </c>
      <c r="AK21">
        <f t="shared" si="5"/>
        <v>9.5940316653185238E-4</v>
      </c>
      <c r="AL21" s="3"/>
      <c r="AM21" t="s">
        <v>133</v>
      </c>
      <c r="AN21" t="s">
        <v>231</v>
      </c>
      <c r="AO21">
        <v>3.558840613329073E-3</v>
      </c>
      <c r="AP21">
        <v>-6.4196931820582545E-4</v>
      </c>
      <c r="AQ21">
        <v>-2.9168712951231344E-3</v>
      </c>
      <c r="AR21">
        <v>3.9718352752893242E-5</v>
      </c>
      <c r="AS21">
        <v>6.1577339756179045E-3</v>
      </c>
      <c r="AT21">
        <f>RESULTADOS_R!$T$44+(RESULTADOS_R!$T$45*AO20)+(RESULTADOS_R!$T$46*AO19)+(RESULTADOS_R!$T$47*AO18)+(RESULTADOS_R!$T$48*AO17)</f>
        <v>2.3160324086577441E-4</v>
      </c>
      <c r="AU21">
        <f t="shared" si="6"/>
        <v>3.3272373724632987E-3</v>
      </c>
      <c r="AV21" s="3"/>
      <c r="AW21" t="s">
        <v>133</v>
      </c>
      <c r="AX21" t="s">
        <v>231</v>
      </c>
      <c r="AY21">
        <v>-1.593338060951337E-3</v>
      </c>
      <c r="AZ21">
        <f>RESULTADOS_R!$T$49</f>
        <v>3.5589999999999998E-4</v>
      </c>
      <c r="BA21">
        <f t="shared" si="3"/>
        <v>-1.9492380609513369E-3</v>
      </c>
    </row>
    <row r="22" spans="1:53" x14ac:dyDescent="0.25">
      <c r="A22" t="s">
        <v>133</v>
      </c>
      <c r="B22" t="s">
        <v>232</v>
      </c>
      <c r="C22">
        <v>-6.8780619625201742E-3</v>
      </c>
      <c r="D22">
        <f>RESULTADOS_R!$T$31</f>
        <v>2.8909999999999998E-4</v>
      </c>
      <c r="E22">
        <f t="shared" si="0"/>
        <v>-7.1671619625201738E-3</v>
      </c>
      <c r="F22" s="3"/>
      <c r="G22" t="s">
        <v>133</v>
      </c>
      <c r="H22" t="s">
        <v>232</v>
      </c>
      <c r="I22">
        <v>-8.1371698764846044E-4</v>
      </c>
      <c r="J22">
        <v>-3.4853325940973387E-4</v>
      </c>
      <c r="K22">
        <v>-3.4841182629903519E-4</v>
      </c>
      <c r="L22">
        <v>-1.1611030491986927E-4</v>
      </c>
      <c r="M22">
        <v>-1.1609682488231944E-4</v>
      </c>
      <c r="N22">
        <f>RESULTADOS_R!$T$32+(RESULTADOS_R!$T$33*I21)+(RESULTADOS_R!$T$34*I20)+(RESULTADOS_R!$T$35*I19)+(RESULTADOS_R!$T$36*I18)</f>
        <v>-1.282713616193538E-4</v>
      </c>
      <c r="O22">
        <f t="shared" si="4"/>
        <v>-6.8544562602910661E-4</v>
      </c>
      <c r="P22" s="3"/>
      <c r="Q22" t="s">
        <v>133</v>
      </c>
      <c r="R22" t="s">
        <v>232</v>
      </c>
      <c r="S22">
        <v>6.3131942779454914E-2</v>
      </c>
      <c r="T22">
        <f>RESULTADOS_R!$T$37</f>
        <v>-1.944E-3</v>
      </c>
      <c r="U22">
        <f t="shared" si="1"/>
        <v>6.5075942779454915E-2</v>
      </c>
      <c r="V22" s="3"/>
      <c r="W22" t="s">
        <v>133</v>
      </c>
      <c r="X22" t="s">
        <v>232</v>
      </c>
      <c r="Y22">
        <v>-5.1779127497704348E-3</v>
      </c>
      <c r="Z22">
        <f>RESULTADOS_R!$T$38</f>
        <v>-1.799E-3</v>
      </c>
      <c r="AA22">
        <f t="shared" si="2"/>
        <v>-3.3789127497704345E-3</v>
      </c>
      <c r="AB22" s="3"/>
      <c r="AC22" t="s">
        <v>133</v>
      </c>
      <c r="AD22" t="s">
        <v>232</v>
      </c>
      <c r="AE22">
        <v>-1.60089821203071E-3</v>
      </c>
      <c r="AF22">
        <v>7.8588598447925078E-4</v>
      </c>
      <c r="AG22">
        <v>-4.0878226900841483E-3</v>
      </c>
      <c r="AH22">
        <v>1.4308266031077183E-3</v>
      </c>
      <c r="AI22">
        <v>-5.4115905822780903E-3</v>
      </c>
      <c r="AJ22">
        <f>RESULTADOS_R!$T$39+(RESULTADOS_R!$T$40*AE21)+(RESULTADOS_R!$T$41*AE20)+(RESULTADOS_R!$T$42*AE19)+(RESULTADOS_R!$T$43*AE18)</f>
        <v>9.9872698363699577E-4</v>
      </c>
      <c r="AK22">
        <f t="shared" si="5"/>
        <v>-2.5996251956677055E-3</v>
      </c>
      <c r="AL22" s="3"/>
      <c r="AM22" t="s">
        <v>133</v>
      </c>
      <c r="AN22" t="s">
        <v>232</v>
      </c>
      <c r="AO22">
        <v>-4.6001496549245144E-3</v>
      </c>
      <c r="AP22">
        <v>3.558840613329073E-3</v>
      </c>
      <c r="AQ22">
        <v>-6.4196931820582545E-4</v>
      </c>
      <c r="AR22">
        <v>-2.9168712951231344E-3</v>
      </c>
      <c r="AS22">
        <v>3.9718352752893242E-5</v>
      </c>
      <c r="AT22">
        <f>RESULTADOS_R!$T$44+(RESULTADOS_R!$T$45*AO21)+(RESULTADOS_R!$T$46*AO20)+(RESULTADOS_R!$T$47*AO19)+(RESULTADOS_R!$T$48*AO18)</f>
        <v>5.61022619924154E-4</v>
      </c>
      <c r="AU22">
        <f t="shared" si="6"/>
        <v>-5.1611722748486685E-3</v>
      </c>
      <c r="AV22" s="3"/>
      <c r="AW22" t="s">
        <v>133</v>
      </c>
      <c r="AX22" t="s">
        <v>232</v>
      </c>
      <c r="AY22">
        <v>2.6435521783666877E-3</v>
      </c>
      <c r="AZ22">
        <f>RESULTADOS_R!$T$49</f>
        <v>3.5589999999999998E-4</v>
      </c>
      <c r="BA22">
        <f t="shared" si="3"/>
        <v>2.2876521783666876E-3</v>
      </c>
    </row>
    <row r="23" spans="1:53" x14ac:dyDescent="0.25">
      <c r="A23" t="s">
        <v>133</v>
      </c>
      <c r="B23" t="s">
        <v>233</v>
      </c>
      <c r="C23">
        <v>-2.4334822266245905E-3</v>
      </c>
      <c r="D23">
        <f>RESULTADOS_R!$T$31</f>
        <v>2.8909999999999998E-4</v>
      </c>
      <c r="E23">
        <f t="shared" si="0"/>
        <v>-2.7225822266245905E-3</v>
      </c>
      <c r="F23" s="3"/>
      <c r="G23" t="s">
        <v>133</v>
      </c>
      <c r="H23" t="s">
        <v>233</v>
      </c>
      <c r="I23">
        <v>4.6506221045166318E-4</v>
      </c>
      <c r="J23">
        <v>-8.1371698764846044E-4</v>
      </c>
      <c r="K23">
        <v>-3.4853325940973387E-4</v>
      </c>
      <c r="L23">
        <v>-3.4841182629903519E-4</v>
      </c>
      <c r="M23">
        <v>-1.1611030491986927E-4</v>
      </c>
      <c r="N23">
        <f>RESULTADOS_R!$T$32+(RESULTADOS_R!$T$33*I22)+(RESULTADOS_R!$T$34*I21)+(RESULTADOS_R!$T$35*I20)+(RESULTADOS_R!$T$36*I19)</f>
        <v>-6.9124960640736498E-5</v>
      </c>
      <c r="O23">
        <f t="shared" si="4"/>
        <v>5.3418717109239967E-4</v>
      </c>
      <c r="P23" s="3"/>
      <c r="Q23" t="s">
        <v>133</v>
      </c>
      <c r="R23" t="s">
        <v>233</v>
      </c>
      <c r="S23">
        <v>-2.5435801839980652E-2</v>
      </c>
      <c r="T23">
        <f>RESULTADOS_R!$T$37</f>
        <v>-1.944E-3</v>
      </c>
      <c r="U23">
        <f t="shared" si="1"/>
        <v>-2.3491801839980651E-2</v>
      </c>
      <c r="V23" s="3"/>
      <c r="W23" t="s">
        <v>133</v>
      </c>
      <c r="X23" t="s">
        <v>233</v>
      </c>
      <c r="Y23">
        <v>-1.4999243778287239E-2</v>
      </c>
      <c r="Z23">
        <f>RESULTADOS_R!$T$38</f>
        <v>-1.799E-3</v>
      </c>
      <c r="AA23">
        <f t="shared" si="2"/>
        <v>-1.3200243778287239E-2</v>
      </c>
      <c r="AB23" s="3"/>
      <c r="AC23" t="s">
        <v>133</v>
      </c>
      <c r="AD23" t="s">
        <v>233</v>
      </c>
      <c r="AE23">
        <v>3.4549623272946777E-3</v>
      </c>
      <c r="AF23">
        <v>-1.60089821203071E-3</v>
      </c>
      <c r="AG23">
        <v>7.8588598447925078E-4</v>
      </c>
      <c r="AH23">
        <v>-4.0878226900841483E-3</v>
      </c>
      <c r="AI23">
        <v>1.4308266031077183E-3</v>
      </c>
      <c r="AJ23">
        <f>RESULTADOS_R!$T$39+(RESULTADOS_R!$T$40*AE22)+(RESULTADOS_R!$T$41*AE21)+(RESULTADOS_R!$T$42*AE20)+(RESULTADOS_R!$T$43*AE19)</f>
        <v>4.554642722085544E-5</v>
      </c>
      <c r="AK23">
        <f t="shared" si="5"/>
        <v>3.4094159000738222E-3</v>
      </c>
      <c r="AL23" s="3"/>
      <c r="AM23" t="s">
        <v>133</v>
      </c>
      <c r="AN23" t="s">
        <v>233</v>
      </c>
      <c r="AO23">
        <v>-9.9801514177646198E-4</v>
      </c>
      <c r="AP23">
        <v>-4.6001496549245144E-3</v>
      </c>
      <c r="AQ23">
        <v>3.558840613329073E-3</v>
      </c>
      <c r="AR23">
        <v>-6.4196931820582545E-4</v>
      </c>
      <c r="AS23">
        <v>-2.9168712951231344E-3</v>
      </c>
      <c r="AT23">
        <f>RESULTADOS_R!$T$44+(RESULTADOS_R!$T$45*AO22)+(RESULTADOS_R!$T$46*AO21)+(RESULTADOS_R!$T$47*AO20)+(RESULTADOS_R!$T$48*AO19)</f>
        <v>-2.4108523405221068E-3</v>
      </c>
      <c r="AU23">
        <f t="shared" si="6"/>
        <v>1.4128371987456448E-3</v>
      </c>
      <c r="AV23" s="3"/>
      <c r="AW23" t="s">
        <v>133</v>
      </c>
      <c r="AX23" t="s">
        <v>233</v>
      </c>
      <c r="AY23">
        <v>2.1182858285204646E-3</v>
      </c>
      <c r="AZ23">
        <f>RESULTADOS_R!$T$49</f>
        <v>3.5589999999999998E-4</v>
      </c>
      <c r="BA23">
        <f t="shared" si="3"/>
        <v>1.7623858285204647E-3</v>
      </c>
    </row>
    <row r="24" spans="1:53" x14ac:dyDescent="0.25">
      <c r="A24" t="s">
        <v>133</v>
      </c>
      <c r="B24" t="s">
        <v>234</v>
      </c>
      <c r="C24">
        <v>3.0294707829480439E-3</v>
      </c>
      <c r="D24">
        <f>RESULTADOS_R!$T$31</f>
        <v>2.8909999999999998E-4</v>
      </c>
      <c r="E24">
        <f t="shared" si="0"/>
        <v>2.7403707829480439E-3</v>
      </c>
      <c r="F24" s="3"/>
      <c r="G24" t="s">
        <v>133</v>
      </c>
      <c r="H24" t="s">
        <v>234</v>
      </c>
      <c r="I24">
        <v>-3.4877637974902381E-4</v>
      </c>
      <c r="J24">
        <v>4.6506221045166318E-4</v>
      </c>
      <c r="K24">
        <v>-8.1371698764846044E-4</v>
      </c>
      <c r="L24">
        <v>-3.4853325940973387E-4</v>
      </c>
      <c r="M24">
        <v>-3.4841182629903519E-4</v>
      </c>
      <c r="N24">
        <f>RESULTADOS_R!$T$32+(RESULTADOS_R!$T$33*I23)+(RESULTADOS_R!$T$34*I22)+(RESULTADOS_R!$T$35*I21)+(RESULTADOS_R!$T$36*I20)</f>
        <v>-3.5277573523163891E-5</v>
      </c>
      <c r="O24">
        <f t="shared" si="4"/>
        <v>-3.1349880622585989E-4</v>
      </c>
      <c r="P24" s="3"/>
      <c r="Q24" t="s">
        <v>133</v>
      </c>
      <c r="R24" t="s">
        <v>234</v>
      </c>
      <c r="S24">
        <v>2.3978843899316683E-2</v>
      </c>
      <c r="T24">
        <f>RESULTADOS_R!$T$37</f>
        <v>-1.944E-3</v>
      </c>
      <c r="U24">
        <f t="shared" si="1"/>
        <v>2.5922843899316685E-2</v>
      </c>
      <c r="V24" s="3"/>
      <c r="W24" t="s">
        <v>133</v>
      </c>
      <c r="X24" t="s">
        <v>234</v>
      </c>
      <c r="Y24">
        <v>3.201623287513726E-2</v>
      </c>
      <c r="Z24">
        <f>RESULTADOS_R!$T$38</f>
        <v>-1.799E-3</v>
      </c>
      <c r="AA24">
        <f t="shared" si="2"/>
        <v>3.3815232875137262E-2</v>
      </c>
      <c r="AB24" s="3"/>
      <c r="AC24" t="s">
        <v>133</v>
      </c>
      <c r="AD24" t="s">
        <v>234</v>
      </c>
      <c r="AE24">
        <v>1.8420936467030809E-2</v>
      </c>
      <c r="AF24">
        <v>3.4549623272946777E-3</v>
      </c>
      <c r="AG24">
        <v>-1.60089821203071E-3</v>
      </c>
      <c r="AH24">
        <v>7.8588598447925078E-4</v>
      </c>
      <c r="AI24">
        <v>-4.0878226900841483E-3</v>
      </c>
      <c r="AJ24">
        <f>RESULTADOS_R!$T$39+(RESULTADOS_R!$T$40*AE23)+(RESULTADOS_R!$T$41*AE22)+(RESULTADOS_R!$T$42*AE21)+(RESULTADOS_R!$T$43*AE20)</f>
        <v>7.6697442747913555E-4</v>
      </c>
      <c r="AK24">
        <f t="shared" si="5"/>
        <v>1.7653962039551673E-2</v>
      </c>
      <c r="AL24" s="3"/>
      <c r="AM24" t="s">
        <v>133</v>
      </c>
      <c r="AN24" t="s">
        <v>234</v>
      </c>
      <c r="AO24">
        <v>2.3317561770605535E-2</v>
      </c>
      <c r="AP24">
        <v>-9.9801514177646198E-4</v>
      </c>
      <c r="AQ24">
        <v>-4.6001496549245144E-3</v>
      </c>
      <c r="AR24">
        <v>3.558840613329073E-3</v>
      </c>
      <c r="AS24">
        <v>-6.4196931820582545E-4</v>
      </c>
      <c r="AT24">
        <f>RESULTADOS_R!$T$44+(RESULTADOS_R!$T$45*AO23)+(RESULTADOS_R!$T$46*AO22)+(RESULTADOS_R!$T$47*AO21)+(RESULTADOS_R!$T$48*AO20)</f>
        <v>1.7713757200929644E-3</v>
      </c>
      <c r="AU24">
        <f t="shared" si="6"/>
        <v>2.1546186050512572E-2</v>
      </c>
      <c r="AV24" s="3"/>
      <c r="AW24" t="s">
        <v>133</v>
      </c>
      <c r="AX24" t="s">
        <v>234</v>
      </c>
      <c r="AY24">
        <v>-4.6236481870049004E-3</v>
      </c>
      <c r="AZ24">
        <f>RESULTADOS_R!$T$49</f>
        <v>3.5589999999999998E-4</v>
      </c>
      <c r="BA24">
        <f t="shared" si="3"/>
        <v>-4.9795481870049006E-3</v>
      </c>
    </row>
    <row r="25" spans="1:53" x14ac:dyDescent="0.25">
      <c r="A25" t="s">
        <v>133</v>
      </c>
      <c r="B25" t="s">
        <v>235</v>
      </c>
      <c r="C25">
        <v>1.6928182836471094E-2</v>
      </c>
      <c r="D25">
        <f>RESULTADOS_R!$T$31</f>
        <v>2.8909999999999998E-4</v>
      </c>
      <c r="E25">
        <f t="shared" si="0"/>
        <v>1.6639082836471093E-2</v>
      </c>
      <c r="F25" s="3"/>
      <c r="G25" t="s">
        <v>133</v>
      </c>
      <c r="H25" t="s">
        <v>235</v>
      </c>
      <c r="I25">
        <v>0</v>
      </c>
      <c r="J25">
        <v>-3.4877637974902381E-4</v>
      </c>
      <c r="K25">
        <v>4.6506221045166318E-4</v>
      </c>
      <c r="L25">
        <v>-8.1371698764846044E-4</v>
      </c>
      <c r="M25">
        <v>-3.4853325940973387E-4</v>
      </c>
      <c r="N25">
        <f>RESULTADOS_R!$T$32+(RESULTADOS_R!$T$33*I24)+(RESULTADOS_R!$T$34*I23)+(RESULTADOS_R!$T$35*I22)+(RESULTADOS_R!$T$36*I21)</f>
        <v>-1.080442711365916E-4</v>
      </c>
      <c r="O25">
        <f t="shared" si="4"/>
        <v>1.080442711365916E-4</v>
      </c>
      <c r="P25" s="3"/>
      <c r="Q25" t="s">
        <v>133</v>
      </c>
      <c r="R25" t="s">
        <v>235</v>
      </c>
      <c r="S25">
        <v>-1.3872113187318482E-3</v>
      </c>
      <c r="T25">
        <f>RESULTADOS_R!$T$37</f>
        <v>-1.944E-3</v>
      </c>
      <c r="U25">
        <f t="shared" si="1"/>
        <v>5.5678868126815182E-4</v>
      </c>
      <c r="V25" s="3"/>
      <c r="W25" t="s">
        <v>133</v>
      </c>
      <c r="X25" t="s">
        <v>235</v>
      </c>
      <c r="Y25">
        <v>4.8658749808172155E-2</v>
      </c>
      <c r="Z25">
        <f>RESULTADOS_R!$T$38</f>
        <v>-1.799E-3</v>
      </c>
      <c r="AA25">
        <f t="shared" si="2"/>
        <v>5.0457749808172157E-2</v>
      </c>
      <c r="AB25" s="3"/>
      <c r="AC25" t="s">
        <v>133</v>
      </c>
      <c r="AD25" t="s">
        <v>235</v>
      </c>
      <c r="AE25">
        <v>1.6219790023284761E-3</v>
      </c>
      <c r="AF25">
        <v>1.8420936467030809E-2</v>
      </c>
      <c r="AG25">
        <v>3.4549623272946777E-3</v>
      </c>
      <c r="AH25">
        <v>-1.60089821203071E-3</v>
      </c>
      <c r="AI25">
        <v>7.8588598447925078E-4</v>
      </c>
      <c r="AJ25">
        <f>RESULTADOS_R!$T$39+(RESULTADOS_R!$T$40*AE24)+(RESULTADOS_R!$T$41*AE23)+(RESULTADOS_R!$T$42*AE22)+(RESULTADOS_R!$T$43*AE21)</f>
        <v>1.1178649349162196E-3</v>
      </c>
      <c r="AK25">
        <f t="shared" si="5"/>
        <v>5.041140674122565E-4</v>
      </c>
      <c r="AL25" s="3"/>
      <c r="AM25" t="s">
        <v>133</v>
      </c>
      <c r="AN25" t="s">
        <v>235</v>
      </c>
      <c r="AO25">
        <v>2.0380449258365779E-2</v>
      </c>
      <c r="AP25">
        <v>2.3317561770605535E-2</v>
      </c>
      <c r="AQ25">
        <v>-9.9801514177646198E-4</v>
      </c>
      <c r="AR25">
        <v>-4.6001496549245144E-3</v>
      </c>
      <c r="AS25">
        <v>3.558840613329073E-3</v>
      </c>
      <c r="AT25">
        <f>RESULTADOS_R!$T$44+(RESULTADOS_R!$T$45*AO24)+(RESULTADOS_R!$T$46*AO23)+(RESULTADOS_R!$T$47*AO22)+(RESULTADOS_R!$T$48*AO21)</f>
        <v>6.2237742646475656E-3</v>
      </c>
      <c r="AU25">
        <f t="shared" si="6"/>
        <v>1.4156674993718213E-2</v>
      </c>
      <c r="AV25" s="3"/>
      <c r="AW25" t="s">
        <v>133</v>
      </c>
      <c r="AX25" t="s">
        <v>235</v>
      </c>
      <c r="AY25">
        <v>-1.3188965727275752E-3</v>
      </c>
      <c r="AZ25">
        <f>RESULTADOS_R!$T$49</f>
        <v>3.5589999999999998E-4</v>
      </c>
      <c r="BA25">
        <f t="shared" si="3"/>
        <v>-1.6747965727275751E-3</v>
      </c>
    </row>
    <row r="26" spans="1:53" x14ac:dyDescent="0.25">
      <c r="A26" t="s">
        <v>133</v>
      </c>
      <c r="B26" t="s">
        <v>236</v>
      </c>
      <c r="C26">
        <v>7.4301384511375095E-3</v>
      </c>
      <c r="D26">
        <f>RESULTADOS_R!$T$31</f>
        <v>2.8909999999999998E-4</v>
      </c>
      <c r="E26">
        <f t="shared" si="0"/>
        <v>7.1410384511375099E-3</v>
      </c>
      <c r="F26" s="3"/>
      <c r="G26" t="s">
        <v>133</v>
      </c>
      <c r="H26" t="s">
        <v>236</v>
      </c>
      <c r="I26">
        <v>-5.8156442464942729E-4</v>
      </c>
      <c r="J26">
        <v>0</v>
      </c>
      <c r="K26">
        <v>-3.4877637974902381E-4</v>
      </c>
      <c r="L26">
        <v>4.6506221045166318E-4</v>
      </c>
      <c r="M26">
        <v>-8.1371698764846044E-4</v>
      </c>
      <c r="N26">
        <f>RESULTADOS_R!$T$32+(RESULTADOS_R!$T$33*I25)+(RESULTADOS_R!$T$34*I24)+(RESULTADOS_R!$T$35*I23)+(RESULTADOS_R!$T$36*I22)</f>
        <v>4.7757961228714352E-5</v>
      </c>
      <c r="O26">
        <f t="shared" si="4"/>
        <v>-6.2932238587814159E-4</v>
      </c>
      <c r="P26" s="3"/>
      <c r="Q26" t="s">
        <v>133</v>
      </c>
      <c r="R26" t="s">
        <v>236</v>
      </c>
      <c r="S26">
        <v>7.1887439905290465E-2</v>
      </c>
      <c r="T26">
        <f>RESULTADOS_R!$T$37</f>
        <v>-1.944E-3</v>
      </c>
      <c r="U26">
        <f t="shared" si="1"/>
        <v>7.3831439905290466E-2</v>
      </c>
      <c r="V26" s="3"/>
      <c r="W26" t="s">
        <v>133</v>
      </c>
      <c r="X26" t="s">
        <v>236</v>
      </c>
      <c r="Y26">
        <v>2.0035757977441355E-2</v>
      </c>
      <c r="Z26">
        <f>RESULTADOS_R!$T$38</f>
        <v>-1.799E-3</v>
      </c>
      <c r="AA26">
        <f t="shared" si="2"/>
        <v>2.1834757977441353E-2</v>
      </c>
      <c r="AB26" s="3"/>
      <c r="AC26" t="s">
        <v>133</v>
      </c>
      <c r="AD26" t="s">
        <v>236</v>
      </c>
      <c r="AE26">
        <v>-1.5886626439291313E-2</v>
      </c>
      <c r="AF26">
        <v>1.6219790023284761E-3</v>
      </c>
      <c r="AG26">
        <v>1.8420936467030809E-2</v>
      </c>
      <c r="AH26">
        <v>3.4549623272946777E-3</v>
      </c>
      <c r="AI26">
        <v>-1.60089821203071E-3</v>
      </c>
      <c r="AJ26">
        <f>RESULTADOS_R!$T$39+(RESULTADOS_R!$T$40*AE25)+(RESULTADOS_R!$T$41*AE24)+(RESULTADOS_R!$T$42*AE23)+(RESULTADOS_R!$T$43*AE22)</f>
        <v>-3.1741253235273081E-3</v>
      </c>
      <c r="AK26">
        <f t="shared" si="5"/>
        <v>-1.2712501115764004E-2</v>
      </c>
      <c r="AL26" s="3"/>
      <c r="AM26" t="s">
        <v>133</v>
      </c>
      <c r="AN26" t="s">
        <v>236</v>
      </c>
      <c r="AO26">
        <v>-1.09561466267547E-2</v>
      </c>
      <c r="AP26">
        <v>2.0380449258365779E-2</v>
      </c>
      <c r="AQ26">
        <v>2.3317561770605535E-2</v>
      </c>
      <c r="AR26">
        <v>-9.9801514177646198E-4</v>
      </c>
      <c r="AS26">
        <v>-4.6001496549245144E-3</v>
      </c>
      <c r="AT26">
        <f>RESULTADOS_R!$T$44+(RESULTADOS_R!$T$45*AO25)+(RESULTADOS_R!$T$46*AO24)+(RESULTADOS_R!$T$47*AO23)+(RESULTADOS_R!$T$48*AO22)</f>
        <v>7.3907121840391165E-5</v>
      </c>
      <c r="AU26">
        <f t="shared" si="6"/>
        <v>-1.1030053748595092E-2</v>
      </c>
      <c r="AV26" s="3"/>
      <c r="AW26" t="s">
        <v>133</v>
      </c>
      <c r="AX26" t="s">
        <v>236</v>
      </c>
      <c r="AY26">
        <v>-2.0224276651888444E-4</v>
      </c>
      <c r="AZ26">
        <f>RESULTADOS_R!$T$49</f>
        <v>3.5589999999999998E-4</v>
      </c>
      <c r="BA26">
        <f t="shared" si="3"/>
        <v>-5.5814276651888436E-4</v>
      </c>
    </row>
    <row r="27" spans="1:53" x14ac:dyDescent="0.25">
      <c r="A27" t="s">
        <v>133</v>
      </c>
      <c r="B27" t="s">
        <v>237</v>
      </c>
      <c r="C27">
        <v>3.3713290619538485E-3</v>
      </c>
      <c r="D27">
        <f>RESULTADOS_R!$T$31</f>
        <v>2.8909999999999998E-4</v>
      </c>
      <c r="E27">
        <f t="shared" si="0"/>
        <v>3.0822290619538484E-3</v>
      </c>
      <c r="F27" s="3"/>
      <c r="G27" t="s">
        <v>133</v>
      </c>
      <c r="H27" t="s">
        <v>237</v>
      </c>
      <c r="I27">
        <v>-6.9832405072490361E-4</v>
      </c>
      <c r="J27">
        <v>-5.8156442464942729E-4</v>
      </c>
      <c r="K27">
        <v>0</v>
      </c>
      <c r="L27">
        <v>-3.4877637974902381E-4</v>
      </c>
      <c r="M27">
        <v>4.6506221045166318E-4</v>
      </c>
      <c r="N27">
        <f>RESULTADOS_R!$T$32+(RESULTADOS_R!$T$33*I26)+(RESULTADOS_R!$T$34*I25)+(RESULTADOS_R!$T$35*I24)+(RESULTADOS_R!$T$36*I23)</f>
        <v>-3.4786393685423515E-4</v>
      </c>
      <c r="O27">
        <f t="shared" si="4"/>
        <v>-3.5046011387066846E-4</v>
      </c>
      <c r="P27" s="3"/>
      <c r="Q27" t="s">
        <v>133</v>
      </c>
      <c r="R27" t="s">
        <v>237</v>
      </c>
      <c r="S27">
        <v>6.9912543777646639E-3</v>
      </c>
      <c r="T27">
        <f>RESULTADOS_R!$T$37</f>
        <v>-1.944E-3</v>
      </c>
      <c r="U27">
        <f t="shared" si="1"/>
        <v>8.9352543777646634E-3</v>
      </c>
      <c r="V27" s="3"/>
      <c r="W27" t="s">
        <v>133</v>
      </c>
      <c r="X27" t="s">
        <v>237</v>
      </c>
      <c r="Y27">
        <v>-2.9924376194847765E-2</v>
      </c>
      <c r="Z27">
        <f>RESULTADOS_R!$T$38</f>
        <v>-1.799E-3</v>
      </c>
      <c r="AA27">
        <f t="shared" si="2"/>
        <v>-2.8125376194847767E-2</v>
      </c>
      <c r="AB27" s="3"/>
      <c r="AC27" t="s">
        <v>133</v>
      </c>
      <c r="AD27" t="s">
        <v>237</v>
      </c>
      <c r="AE27">
        <v>-1.5062887560327238E-3</v>
      </c>
      <c r="AF27">
        <v>-1.5886626439291313E-2</v>
      </c>
      <c r="AG27">
        <v>1.6219790023284761E-3</v>
      </c>
      <c r="AH27">
        <v>1.8420936467030809E-2</v>
      </c>
      <c r="AI27">
        <v>3.4549623272946777E-3</v>
      </c>
      <c r="AJ27">
        <f>RESULTADOS_R!$T$39+(RESULTADOS_R!$T$40*AE26)+(RESULTADOS_R!$T$41*AE25)+(RESULTADOS_R!$T$42*AE24)+(RESULTADOS_R!$T$43*AE23)</f>
        <v>-1.1290331338183839E-3</v>
      </c>
      <c r="AK27">
        <f t="shared" si="5"/>
        <v>-3.772556222143399E-4</v>
      </c>
      <c r="AL27" s="3"/>
      <c r="AM27" t="s">
        <v>133</v>
      </c>
      <c r="AN27" t="s">
        <v>237</v>
      </c>
      <c r="AO27">
        <v>-5.098119488754012E-3</v>
      </c>
      <c r="AP27">
        <v>-1.09561466267547E-2</v>
      </c>
      <c r="AQ27">
        <v>2.0380449258365779E-2</v>
      </c>
      <c r="AR27">
        <v>2.3317561770605535E-2</v>
      </c>
      <c r="AS27">
        <v>-9.9801514177646198E-4</v>
      </c>
      <c r="AT27">
        <f>RESULTADOS_R!$T$44+(RESULTADOS_R!$T$45*AO26)+(RESULTADOS_R!$T$46*AO25)+(RESULTADOS_R!$T$47*AO24)+(RESULTADOS_R!$T$48*AO23)</f>
        <v>-3.3465754149055783E-3</v>
      </c>
      <c r="AU27">
        <f t="shared" si="6"/>
        <v>-1.7515440738484337E-3</v>
      </c>
      <c r="AV27" s="3"/>
      <c r="AW27" t="s">
        <v>133</v>
      </c>
      <c r="AX27" t="s">
        <v>237</v>
      </c>
      <c r="AY27">
        <v>1.703124172514054E-4</v>
      </c>
      <c r="AZ27">
        <f>RESULTADOS_R!$T$49</f>
        <v>3.5589999999999998E-4</v>
      </c>
      <c r="BA27">
        <f t="shared" si="3"/>
        <v>-1.8558758274859458E-4</v>
      </c>
    </row>
    <row r="28" spans="1:53" x14ac:dyDescent="0.25">
      <c r="A28" t="s">
        <v>133</v>
      </c>
      <c r="B28" t="s">
        <v>238</v>
      </c>
      <c r="C28">
        <v>7.3506065969788179E-3</v>
      </c>
      <c r="D28">
        <f>RESULTADOS_R!$T$31</f>
        <v>2.8909999999999998E-4</v>
      </c>
      <c r="E28">
        <f t="shared" si="0"/>
        <v>7.0615065969788183E-3</v>
      </c>
      <c r="F28" s="3"/>
      <c r="G28" t="s">
        <v>133</v>
      </c>
      <c r="H28" t="s">
        <v>238</v>
      </c>
      <c r="I28">
        <v>3.4922298242112915E-4</v>
      </c>
      <c r="J28">
        <v>-6.9832405072490361E-4</v>
      </c>
      <c r="K28">
        <v>-5.8156442464942729E-4</v>
      </c>
      <c r="L28">
        <v>0</v>
      </c>
      <c r="M28">
        <v>-3.4877637974902381E-4</v>
      </c>
      <c r="N28">
        <f>RESULTADOS_R!$T$32+(RESULTADOS_R!$T$33*I27)+(RESULTADOS_R!$T$34*I26)+(RESULTADOS_R!$T$35*I25)+(RESULTADOS_R!$T$36*I24)</f>
        <v>1.1107096234950104E-5</v>
      </c>
      <c r="O28">
        <f t="shared" si="4"/>
        <v>3.3811588618617907E-4</v>
      </c>
      <c r="P28" s="3"/>
      <c r="Q28" t="s">
        <v>133</v>
      </c>
      <c r="R28" t="s">
        <v>238</v>
      </c>
      <c r="S28">
        <v>3.5413432920988967E-2</v>
      </c>
      <c r="T28">
        <f>RESULTADOS_R!$T$37</f>
        <v>-1.944E-3</v>
      </c>
      <c r="U28">
        <f t="shared" si="1"/>
        <v>3.7357432920988969E-2</v>
      </c>
      <c r="V28" s="3"/>
      <c r="W28" t="s">
        <v>133</v>
      </c>
      <c r="X28" t="s">
        <v>238</v>
      </c>
      <c r="Y28">
        <v>3.3804395207734497E-2</v>
      </c>
      <c r="Z28">
        <f>RESULTADOS_R!$T$38</f>
        <v>-1.799E-3</v>
      </c>
      <c r="AA28">
        <f t="shared" si="2"/>
        <v>3.5603395207734499E-2</v>
      </c>
      <c r="AB28" s="3"/>
      <c r="AC28" t="s">
        <v>133</v>
      </c>
      <c r="AD28" t="s">
        <v>238</v>
      </c>
      <c r="AE28">
        <v>2.4168888251760437E-3</v>
      </c>
      <c r="AF28">
        <v>-1.5062887560327238E-3</v>
      </c>
      <c r="AG28">
        <v>-1.5886626439291313E-2</v>
      </c>
      <c r="AH28">
        <v>1.6219790023284761E-3</v>
      </c>
      <c r="AI28">
        <v>1.8420936467030809E-2</v>
      </c>
      <c r="AJ28">
        <f>RESULTADOS_R!$T$39+(RESULTADOS_R!$T$40*AE27)+(RESULTADOS_R!$T$41*AE26)+(RESULTADOS_R!$T$42*AE25)+(RESULTADOS_R!$T$43*AE24)</f>
        <v>3.7891167426212912E-3</v>
      </c>
      <c r="AK28">
        <f t="shared" si="5"/>
        <v>-1.3722279174452475E-3</v>
      </c>
      <c r="AL28" s="3"/>
      <c r="AM28" t="s">
        <v>133</v>
      </c>
      <c r="AN28" t="s">
        <v>238</v>
      </c>
      <c r="AO28">
        <v>2.0716279221319907E-2</v>
      </c>
      <c r="AP28">
        <v>-5.098119488754012E-3</v>
      </c>
      <c r="AQ28">
        <v>-1.09561466267547E-2</v>
      </c>
      <c r="AR28">
        <v>2.0380449258365779E-2</v>
      </c>
      <c r="AS28">
        <v>2.3317561770605535E-2</v>
      </c>
      <c r="AT28">
        <f>RESULTADOS_R!$T$44+(RESULTADOS_R!$T$45*AO27)+(RESULTADOS_R!$T$46*AO26)+(RESULTADOS_R!$T$47*AO25)+(RESULTADOS_R!$T$48*AO24)</f>
        <v>4.8827446904498861E-3</v>
      </c>
      <c r="AU28">
        <f t="shared" si="6"/>
        <v>1.5833534530870021E-2</v>
      </c>
      <c r="AV28" s="3"/>
      <c r="AW28" t="s">
        <v>133</v>
      </c>
      <c r="AX28" t="s">
        <v>238</v>
      </c>
      <c r="AY28">
        <v>-2.3336736096809425E-3</v>
      </c>
      <c r="AZ28">
        <f>RESULTADOS_R!$T$49</f>
        <v>3.5589999999999998E-4</v>
      </c>
      <c r="BA28">
        <f t="shared" si="3"/>
        <v>-2.6895736096809427E-3</v>
      </c>
    </row>
    <row r="29" spans="1:53" x14ac:dyDescent="0.25">
      <c r="A29" t="s">
        <v>133</v>
      </c>
      <c r="B29" t="s">
        <v>239</v>
      </c>
      <c r="C29">
        <v>3.6661628112442434E-3</v>
      </c>
      <c r="D29">
        <f>RESULTADOS_R!$T$31</f>
        <v>2.8909999999999998E-4</v>
      </c>
      <c r="E29">
        <f t="shared" si="0"/>
        <v>3.3770628112442433E-3</v>
      </c>
      <c r="F29" s="3"/>
      <c r="G29" t="s">
        <v>133</v>
      </c>
      <c r="H29" t="s">
        <v>239</v>
      </c>
      <c r="I29">
        <v>3.4910106830381908E-4</v>
      </c>
      <c r="J29">
        <v>3.4922298242112915E-4</v>
      </c>
      <c r="K29">
        <v>-6.9832405072490361E-4</v>
      </c>
      <c r="L29">
        <v>-5.8156442464942729E-4</v>
      </c>
      <c r="M29">
        <v>0</v>
      </c>
      <c r="N29">
        <f>RESULTADOS_R!$T$32+(RESULTADOS_R!$T$33*I28)+(RESULTADOS_R!$T$34*I27)+(RESULTADOS_R!$T$35*I26)+(RESULTADOS_R!$T$36*I25)</f>
        <v>-1.48947624316284E-4</v>
      </c>
      <c r="O29">
        <f t="shared" si="4"/>
        <v>4.9804869262010305E-4</v>
      </c>
      <c r="P29" s="3"/>
      <c r="Q29" t="s">
        <v>133</v>
      </c>
      <c r="R29" t="s">
        <v>239</v>
      </c>
      <c r="S29">
        <v>2.6577866667517026E-2</v>
      </c>
      <c r="T29">
        <f>RESULTADOS_R!$T$37</f>
        <v>-1.944E-3</v>
      </c>
      <c r="U29">
        <f t="shared" si="1"/>
        <v>2.8521866667517028E-2</v>
      </c>
      <c r="V29" s="3"/>
      <c r="W29" t="s">
        <v>133</v>
      </c>
      <c r="X29" t="s">
        <v>239</v>
      </c>
      <c r="Y29">
        <v>6.9321647696455782E-2</v>
      </c>
      <c r="Z29">
        <f>RESULTADOS_R!$T$38</f>
        <v>-1.799E-3</v>
      </c>
      <c r="AA29">
        <f t="shared" si="2"/>
        <v>7.1120647696455777E-2</v>
      </c>
      <c r="AB29" s="3"/>
      <c r="AC29" t="s">
        <v>133</v>
      </c>
      <c r="AD29" t="s">
        <v>239</v>
      </c>
      <c r="AE29">
        <v>7.300001438122955E-3</v>
      </c>
      <c r="AF29">
        <v>2.4168888251760437E-3</v>
      </c>
      <c r="AG29">
        <v>-1.5062887560327238E-3</v>
      </c>
      <c r="AH29">
        <v>-1.5886626439291313E-2</v>
      </c>
      <c r="AI29">
        <v>1.6219790023284761E-3</v>
      </c>
      <c r="AJ29">
        <f>RESULTADOS_R!$T$39+(RESULTADOS_R!$T$40*AE28)+(RESULTADOS_R!$T$41*AE27)+(RESULTADOS_R!$T$42*AE26)+(RESULTADOS_R!$T$43*AE25)</f>
        <v>7.7895649026819684E-4</v>
      </c>
      <c r="AK29">
        <f t="shared" si="5"/>
        <v>6.5210449478547584E-3</v>
      </c>
      <c r="AL29" s="3"/>
      <c r="AM29" t="s">
        <v>133</v>
      </c>
      <c r="AN29" t="s">
        <v>239</v>
      </c>
      <c r="AO29">
        <v>2.5795495142109496E-2</v>
      </c>
      <c r="AP29">
        <v>2.0716279221319907E-2</v>
      </c>
      <c r="AQ29">
        <v>-5.098119488754012E-3</v>
      </c>
      <c r="AR29">
        <v>-1.09561466267547E-2</v>
      </c>
      <c r="AS29">
        <v>2.0380449258365779E-2</v>
      </c>
      <c r="AT29">
        <f>RESULTADOS_R!$T$44+(RESULTADOS_R!$T$45*AO28)+(RESULTADOS_R!$T$46*AO27)+(RESULTADOS_R!$T$47*AO26)+(RESULTADOS_R!$T$48*AO25)</f>
        <v>4.1035923312522943E-3</v>
      </c>
      <c r="AU29">
        <f t="shared" si="6"/>
        <v>2.16919028108572E-2</v>
      </c>
      <c r="AV29" s="3"/>
      <c r="AW29" t="s">
        <v>133</v>
      </c>
      <c r="AX29" t="s">
        <v>239</v>
      </c>
      <c r="AY29">
        <v>-1.8794187878372131E-3</v>
      </c>
      <c r="AZ29">
        <f>RESULTADOS_R!$T$49</f>
        <v>3.5589999999999998E-4</v>
      </c>
      <c r="BA29">
        <f t="shared" si="3"/>
        <v>-2.235318787837213E-3</v>
      </c>
    </row>
    <row r="30" spans="1:53" x14ac:dyDescent="0.25">
      <c r="A30" t="s">
        <v>133</v>
      </c>
      <c r="B30" t="s">
        <v>240</v>
      </c>
      <c r="C30">
        <v>2.9936187886093774E-3</v>
      </c>
      <c r="D30">
        <f>RESULTADOS_R!$T$31</f>
        <v>2.8909999999999998E-4</v>
      </c>
      <c r="E30">
        <f t="shared" si="0"/>
        <v>2.7045187886093774E-3</v>
      </c>
      <c r="F30" s="3"/>
      <c r="G30" t="s">
        <v>133</v>
      </c>
      <c r="H30" t="s">
        <v>240</v>
      </c>
      <c r="I30">
        <v>-1.1641444853738245E-3</v>
      </c>
      <c r="J30">
        <v>3.4910106830381908E-4</v>
      </c>
      <c r="K30">
        <v>3.4922298242112915E-4</v>
      </c>
      <c r="L30">
        <v>-6.9832405072490361E-4</v>
      </c>
      <c r="M30">
        <v>-5.8156442464942729E-4</v>
      </c>
      <c r="N30">
        <f>RESULTADOS_R!$T$32+(RESULTADOS_R!$T$33*I29)+(RESULTADOS_R!$T$34*I28)+(RESULTADOS_R!$T$35*I27)+(RESULTADOS_R!$T$36*I26)</f>
        <v>-7.947321630363954E-5</v>
      </c>
      <c r="O30">
        <f t="shared" si="4"/>
        <v>-1.0846712690701849E-3</v>
      </c>
      <c r="P30" s="3"/>
      <c r="Q30" t="s">
        <v>133</v>
      </c>
      <c r="R30" t="s">
        <v>240</v>
      </c>
      <c r="S30">
        <v>-5.9027665738603456E-2</v>
      </c>
      <c r="T30">
        <f>RESULTADOS_R!$T$37</f>
        <v>-1.944E-3</v>
      </c>
      <c r="U30">
        <f t="shared" si="1"/>
        <v>-5.7083665738603455E-2</v>
      </c>
      <c r="V30" s="3"/>
      <c r="W30" t="s">
        <v>133</v>
      </c>
      <c r="X30" t="s">
        <v>240</v>
      </c>
      <c r="Y30">
        <v>-2.4767558585883014E-2</v>
      </c>
      <c r="Z30">
        <f>RESULTADOS_R!$T$38</f>
        <v>-1.799E-3</v>
      </c>
      <c r="AA30">
        <f t="shared" si="2"/>
        <v>-2.2968558585883016E-2</v>
      </c>
      <c r="AB30" s="3"/>
      <c r="AC30" t="s">
        <v>133</v>
      </c>
      <c r="AD30" t="s">
        <v>240</v>
      </c>
      <c r="AE30">
        <v>5.2179915283469475E-4</v>
      </c>
      <c r="AF30">
        <v>7.300001438122955E-3</v>
      </c>
      <c r="AG30">
        <v>2.4168888251760437E-3</v>
      </c>
      <c r="AH30">
        <v>-1.5062887560327238E-3</v>
      </c>
      <c r="AI30">
        <v>-1.5886626439291313E-2</v>
      </c>
      <c r="AJ30">
        <f>RESULTADOS_R!$T$39+(RESULTADOS_R!$T$40*AE29)+(RESULTADOS_R!$T$41*AE28)+(RESULTADOS_R!$T$42*AE27)+(RESULTADOS_R!$T$43*AE26)</f>
        <v>-5.1858602688582096E-5</v>
      </c>
      <c r="AK30">
        <f t="shared" si="5"/>
        <v>5.7365775552327685E-4</v>
      </c>
      <c r="AL30" s="3"/>
      <c r="AM30" t="s">
        <v>133</v>
      </c>
      <c r="AN30" t="s">
        <v>240</v>
      </c>
      <c r="AO30">
        <v>-5.4955409675951656E-3</v>
      </c>
      <c r="AP30">
        <v>2.5795495142109496E-2</v>
      </c>
      <c r="AQ30">
        <v>2.0716279221319907E-2</v>
      </c>
      <c r="AR30">
        <v>-5.098119488754012E-3</v>
      </c>
      <c r="AS30">
        <v>-1.09561466267547E-2</v>
      </c>
      <c r="AT30">
        <f>RESULTADOS_R!$T$44+(RESULTADOS_R!$T$45*AO29)+(RESULTADOS_R!$T$46*AO28)+(RESULTADOS_R!$T$47*AO27)+(RESULTADOS_R!$T$48*AO26)</f>
        <v>1.8330040956863578E-3</v>
      </c>
      <c r="AU30">
        <f t="shared" si="6"/>
        <v>-7.3285450632815229E-3</v>
      </c>
      <c r="AV30" s="3"/>
      <c r="AW30" t="s">
        <v>133</v>
      </c>
      <c r="AX30" t="s">
        <v>240</v>
      </c>
      <c r="AY30">
        <v>2.2634106007302368E-3</v>
      </c>
      <c r="AZ30">
        <f>RESULTADOS_R!$T$49</f>
        <v>3.5589999999999998E-4</v>
      </c>
      <c r="BA30">
        <f t="shared" si="3"/>
        <v>1.9075106007302369E-3</v>
      </c>
    </row>
    <row r="31" spans="1:53" x14ac:dyDescent="0.25">
      <c r="A31" t="s">
        <v>133</v>
      </c>
      <c r="B31" t="s">
        <v>241</v>
      </c>
      <c r="C31">
        <v>-1.0775507656377681E-3</v>
      </c>
      <c r="D31">
        <f>RESULTADOS_R!$T$31</f>
        <v>2.8909999999999998E-4</v>
      </c>
      <c r="E31">
        <f t="shared" si="0"/>
        <v>-1.3666507656377681E-3</v>
      </c>
      <c r="F31" s="3"/>
      <c r="G31" t="s">
        <v>133</v>
      </c>
      <c r="H31" t="s">
        <v>241</v>
      </c>
      <c r="I31">
        <v>-2.3299161335594838E-4</v>
      </c>
      <c r="J31">
        <v>-1.1641444853738245E-3</v>
      </c>
      <c r="K31">
        <v>3.4910106830381908E-4</v>
      </c>
      <c r="L31">
        <v>3.4922298242112915E-4</v>
      </c>
      <c r="M31">
        <v>-6.9832405072490361E-4</v>
      </c>
      <c r="N31">
        <f>RESULTADOS_R!$T$32+(RESULTADOS_R!$T$33*I30)+(RESULTADOS_R!$T$34*I29)+(RESULTADOS_R!$T$35*I28)+(RESULTADOS_R!$T$36*I27)</f>
        <v>2.1268830512214028E-5</v>
      </c>
      <c r="O31">
        <f t="shared" si="4"/>
        <v>-2.5426044386816241E-4</v>
      </c>
      <c r="P31" s="3"/>
      <c r="Q31" t="s">
        <v>133</v>
      </c>
      <c r="R31" t="s">
        <v>241</v>
      </c>
      <c r="S31">
        <v>-2.4702290020849636E-2</v>
      </c>
      <c r="T31">
        <f>RESULTADOS_R!$T$37</f>
        <v>-1.944E-3</v>
      </c>
      <c r="U31">
        <f t="shared" si="1"/>
        <v>-2.2758290020849635E-2</v>
      </c>
      <c r="V31" s="3"/>
      <c r="W31" t="s">
        <v>133</v>
      </c>
      <c r="X31" t="s">
        <v>241</v>
      </c>
      <c r="Y31">
        <v>-2.0971727139242457E-2</v>
      </c>
      <c r="Z31">
        <f>RESULTADOS_R!$T$38</f>
        <v>-1.799E-3</v>
      </c>
      <c r="AA31">
        <f t="shared" si="2"/>
        <v>-1.9172727139242458E-2</v>
      </c>
      <c r="AB31" s="3"/>
      <c r="AC31" t="s">
        <v>133</v>
      </c>
      <c r="AD31" t="s">
        <v>241</v>
      </c>
      <c r="AE31">
        <v>5.4374106062752836E-3</v>
      </c>
      <c r="AF31">
        <v>5.2179915283469475E-4</v>
      </c>
      <c r="AG31">
        <v>7.300001438122955E-3</v>
      </c>
      <c r="AH31">
        <v>2.4168888251760437E-3</v>
      </c>
      <c r="AI31">
        <v>-1.5062887560327238E-3</v>
      </c>
      <c r="AJ31">
        <f>RESULTADOS_R!$T$39+(RESULTADOS_R!$T$40*AE30)+(RESULTADOS_R!$T$41*AE29)+(RESULTADOS_R!$T$42*AE28)+(RESULTADOS_R!$T$43*AE27)</f>
        <v>-1.1102513439262898E-3</v>
      </c>
      <c r="AK31">
        <f t="shared" si="5"/>
        <v>6.5476619502015734E-3</v>
      </c>
      <c r="AL31" s="3"/>
      <c r="AM31" t="s">
        <v>133</v>
      </c>
      <c r="AN31" t="s">
        <v>241</v>
      </c>
      <c r="AO31">
        <v>7.2247192155757284E-3</v>
      </c>
      <c r="AP31">
        <v>-5.4955409675951656E-3</v>
      </c>
      <c r="AQ31">
        <v>2.5795495142109496E-2</v>
      </c>
      <c r="AR31">
        <v>2.0716279221319907E-2</v>
      </c>
      <c r="AS31">
        <v>-5.098119488754012E-3</v>
      </c>
      <c r="AT31">
        <f>RESULTADOS_R!$T$44+(RESULTADOS_R!$T$45*AO30)+(RESULTADOS_R!$T$46*AO29)+(RESULTADOS_R!$T$47*AO28)+(RESULTADOS_R!$T$48*AO27)</f>
        <v>-3.4925516534100986E-3</v>
      </c>
      <c r="AU31">
        <f t="shared" si="6"/>
        <v>1.0717270868985827E-2</v>
      </c>
      <c r="AV31" s="3"/>
      <c r="AW31" t="s">
        <v>133</v>
      </c>
      <c r="AX31" t="s">
        <v>241</v>
      </c>
      <c r="AY31">
        <v>-1.3659746430622923E-3</v>
      </c>
      <c r="AZ31">
        <f>RESULTADOS_R!$T$49</f>
        <v>3.5589999999999998E-4</v>
      </c>
      <c r="BA31">
        <f t="shared" si="3"/>
        <v>-1.7218746430622922E-3</v>
      </c>
    </row>
    <row r="32" spans="1:53" x14ac:dyDescent="0.25">
      <c r="A32" t="s">
        <v>133</v>
      </c>
      <c r="B32" t="s">
        <v>242</v>
      </c>
      <c r="C32">
        <v>4.7413219624264256E-3</v>
      </c>
      <c r="D32">
        <f>RESULTADOS_R!$T$31</f>
        <v>2.8909999999999998E-4</v>
      </c>
      <c r="E32">
        <f t="shared" si="0"/>
        <v>4.452221962426426E-3</v>
      </c>
      <c r="F32" s="3"/>
      <c r="G32" t="s">
        <v>133</v>
      </c>
      <c r="H32" t="s">
        <v>242</v>
      </c>
      <c r="I32">
        <v>4.6592895426490088E-4</v>
      </c>
      <c r="J32">
        <v>-2.3299161335594838E-4</v>
      </c>
      <c r="K32">
        <v>-1.1641444853738245E-3</v>
      </c>
      <c r="L32">
        <v>3.4910106830381908E-4</v>
      </c>
      <c r="M32">
        <v>3.4922298242112915E-4</v>
      </c>
      <c r="N32">
        <f>RESULTADOS_R!$T$32+(RESULTADOS_R!$T$33*I31)+(RESULTADOS_R!$T$34*I30)+(RESULTADOS_R!$T$35*I29)+(RESULTADOS_R!$T$36*I28)</f>
        <v>-2.2495985845151316E-4</v>
      </c>
      <c r="O32">
        <f t="shared" si="4"/>
        <v>6.9088881271641409E-4</v>
      </c>
      <c r="P32" s="3"/>
      <c r="Q32" t="s">
        <v>133</v>
      </c>
      <c r="R32" t="s">
        <v>242</v>
      </c>
      <c r="S32">
        <v>3.7950427065468695E-2</v>
      </c>
      <c r="T32">
        <f>RESULTADOS_R!$T$37</f>
        <v>-1.944E-3</v>
      </c>
      <c r="U32">
        <f t="shared" si="1"/>
        <v>3.9894427065468696E-2</v>
      </c>
      <c r="V32" s="3"/>
      <c r="W32" t="s">
        <v>133</v>
      </c>
      <c r="X32" t="s">
        <v>242</v>
      </c>
      <c r="Y32">
        <v>6.0519990071372751E-2</v>
      </c>
      <c r="Z32">
        <f>RESULTADOS_R!$T$38</f>
        <v>-1.799E-3</v>
      </c>
      <c r="AA32">
        <f t="shared" si="2"/>
        <v>6.2318990071372753E-2</v>
      </c>
      <c r="AB32" s="3"/>
      <c r="AC32" t="s">
        <v>133</v>
      </c>
      <c r="AD32" t="s">
        <v>242</v>
      </c>
      <c r="AE32">
        <v>8.3279415743928373E-3</v>
      </c>
      <c r="AF32">
        <v>5.4374106062752836E-3</v>
      </c>
      <c r="AG32">
        <v>5.2179915283469475E-4</v>
      </c>
      <c r="AH32">
        <v>7.300001438122955E-3</v>
      </c>
      <c r="AI32">
        <v>2.4168888251760437E-3</v>
      </c>
      <c r="AJ32">
        <f>RESULTADOS_R!$T$39+(RESULTADOS_R!$T$40*AE31)+(RESULTADOS_R!$T$41*AE30)+(RESULTADOS_R!$T$42*AE29)+(RESULTADOS_R!$T$43*AE28)</f>
        <v>7.2304009539105973E-4</v>
      </c>
      <c r="AK32">
        <f t="shared" si="5"/>
        <v>7.6049014790017773E-3</v>
      </c>
      <c r="AL32" s="3"/>
      <c r="AM32" t="s">
        <v>133</v>
      </c>
      <c r="AN32" t="s">
        <v>242</v>
      </c>
      <c r="AO32">
        <v>9.8688714260272373E-3</v>
      </c>
      <c r="AP32">
        <v>7.2247192155757284E-3</v>
      </c>
      <c r="AQ32">
        <v>-5.4955409675951656E-3</v>
      </c>
      <c r="AR32">
        <v>2.5795495142109496E-2</v>
      </c>
      <c r="AS32">
        <v>2.0716279221319907E-2</v>
      </c>
      <c r="AT32">
        <f>RESULTADOS_R!$T$44+(RESULTADOS_R!$T$45*AO31)+(RESULTADOS_R!$T$46*AO30)+(RESULTADOS_R!$T$47*AO29)+(RESULTADOS_R!$T$48*AO28)</f>
        <v>8.6760124734288763E-3</v>
      </c>
      <c r="AU32">
        <f t="shared" si="6"/>
        <v>1.1928589525983611E-3</v>
      </c>
      <c r="AV32" s="3"/>
      <c r="AW32" t="s">
        <v>133</v>
      </c>
      <c r="AX32" t="s">
        <v>242</v>
      </c>
      <c r="AY32">
        <v>1.8244383711525643E-3</v>
      </c>
      <c r="AZ32">
        <f>RESULTADOS_R!$T$49</f>
        <v>3.5589999999999998E-4</v>
      </c>
      <c r="BA32">
        <f t="shared" si="3"/>
        <v>1.4685383711525643E-3</v>
      </c>
    </row>
    <row r="33" spans="1:53" x14ac:dyDescent="0.25">
      <c r="A33" t="s">
        <v>133</v>
      </c>
      <c r="B33" t="s">
        <v>243</v>
      </c>
      <c r="C33">
        <v>1.8159347753280762E-3</v>
      </c>
      <c r="D33">
        <f>RESULTADOS_R!$T$31</f>
        <v>2.8909999999999998E-4</v>
      </c>
      <c r="E33">
        <f t="shared" si="0"/>
        <v>1.5268347753280762E-3</v>
      </c>
      <c r="F33" s="3"/>
      <c r="G33" t="s">
        <v>133</v>
      </c>
      <c r="H33" t="s">
        <v>243</v>
      </c>
      <c r="I33">
        <v>-2.3293734090899741E-4</v>
      </c>
      <c r="J33">
        <v>4.6592895426490088E-4</v>
      </c>
      <c r="K33">
        <v>-2.3299161335594838E-4</v>
      </c>
      <c r="L33">
        <v>-1.1641444853738245E-3</v>
      </c>
      <c r="M33">
        <v>3.4910106830381908E-4</v>
      </c>
      <c r="N33">
        <f>RESULTADOS_R!$T$32+(RESULTADOS_R!$T$33*I32)+(RESULTADOS_R!$T$34*I31)+(RESULTADOS_R!$T$35*I30)+(RESULTADOS_R!$T$36*I29)</f>
        <v>-3.0736180008279941E-4</v>
      </c>
      <c r="O33">
        <f t="shared" si="4"/>
        <v>7.4424459173801999E-5</v>
      </c>
      <c r="P33" s="3"/>
      <c r="Q33" t="s">
        <v>133</v>
      </c>
      <c r="R33" t="s">
        <v>243</v>
      </c>
      <c r="S33">
        <v>-4.3377221864646015E-2</v>
      </c>
      <c r="T33">
        <f>RESULTADOS_R!$T$37</f>
        <v>-1.944E-3</v>
      </c>
      <c r="U33">
        <f t="shared" si="1"/>
        <v>-4.1433221864646014E-2</v>
      </c>
      <c r="V33" s="3"/>
      <c r="W33" t="s">
        <v>133</v>
      </c>
      <c r="X33" t="s">
        <v>243</v>
      </c>
      <c r="Y33">
        <v>-2.0787703260319382E-2</v>
      </c>
      <c r="Z33">
        <f>RESULTADOS_R!$T$38</f>
        <v>-1.799E-3</v>
      </c>
      <c r="AA33">
        <f t="shared" si="2"/>
        <v>-1.8988703260319383E-2</v>
      </c>
      <c r="AB33" s="3"/>
      <c r="AC33" t="s">
        <v>133</v>
      </c>
      <c r="AD33" t="s">
        <v>243</v>
      </c>
      <c r="AE33">
        <v>-8.2442621335458485E-3</v>
      </c>
      <c r="AF33">
        <v>8.3279415743928373E-3</v>
      </c>
      <c r="AG33">
        <v>5.4374106062752836E-3</v>
      </c>
      <c r="AH33">
        <v>5.2179915283469475E-4</v>
      </c>
      <c r="AI33">
        <v>7.300001438122955E-3</v>
      </c>
      <c r="AJ33">
        <f>RESULTADOS_R!$T$39+(RESULTADOS_R!$T$40*AE32)+(RESULTADOS_R!$T$41*AE31)+(RESULTADOS_R!$T$42*AE30)+(RESULTADOS_R!$T$43*AE29)</f>
        <v>1.2281077054861585E-4</v>
      </c>
      <c r="AK33">
        <f t="shared" si="5"/>
        <v>-8.3670729040944639E-3</v>
      </c>
      <c r="AL33" s="3"/>
      <c r="AM33" t="s">
        <v>133</v>
      </c>
      <c r="AN33" t="s">
        <v>243</v>
      </c>
      <c r="AO33">
        <v>-1.7135025102650192E-2</v>
      </c>
      <c r="AP33">
        <v>9.8688714260272373E-3</v>
      </c>
      <c r="AQ33">
        <v>7.2247192155757284E-3</v>
      </c>
      <c r="AR33">
        <v>-5.4955409675951656E-3</v>
      </c>
      <c r="AS33">
        <v>2.5795495142109496E-2</v>
      </c>
      <c r="AT33">
        <f>RESULTADOS_R!$T$44+(RESULTADOS_R!$T$45*AO32)+(RESULTADOS_R!$T$46*AO31)+(RESULTADOS_R!$T$47*AO30)+(RESULTADOS_R!$T$48*AO29)</f>
        <v>-1.5848305390443464E-3</v>
      </c>
      <c r="AU33">
        <f t="shared" si="6"/>
        <v>-1.5550194563605846E-2</v>
      </c>
      <c r="AV33" s="3"/>
      <c r="AW33" t="s">
        <v>133</v>
      </c>
      <c r="AX33" t="s">
        <v>243</v>
      </c>
      <c r="AY33">
        <v>1.4486426836498717E-3</v>
      </c>
      <c r="AZ33">
        <f>RESULTADOS_R!$T$49</f>
        <v>3.5589999999999998E-4</v>
      </c>
      <c r="BA33">
        <f t="shared" si="3"/>
        <v>1.0927426836498718E-3</v>
      </c>
    </row>
    <row r="34" spans="1:53" x14ac:dyDescent="0.25">
      <c r="A34" t="s">
        <v>133</v>
      </c>
      <c r="B34" t="s">
        <v>244</v>
      </c>
      <c r="C34">
        <v>-5.0621923693919988E-3</v>
      </c>
      <c r="D34">
        <f>RESULTADOS_R!$T$31</f>
        <v>2.8909999999999998E-4</v>
      </c>
      <c r="E34">
        <f t="shared" si="0"/>
        <v>-5.3512923693919984E-3</v>
      </c>
      <c r="F34" s="3"/>
      <c r="G34" t="s">
        <v>133</v>
      </c>
      <c r="H34" t="s">
        <v>244</v>
      </c>
      <c r="I34">
        <v>-2.3299161335594838E-4</v>
      </c>
      <c r="J34">
        <v>-2.3293734090899741E-4</v>
      </c>
      <c r="K34">
        <v>4.6592895426490088E-4</v>
      </c>
      <c r="L34">
        <v>-2.3299161335594838E-4</v>
      </c>
      <c r="M34">
        <v>-1.1641444853738245E-3</v>
      </c>
      <c r="N34">
        <f>RESULTADOS_R!$T$32+(RESULTADOS_R!$T$33*I33)+(RESULTADOS_R!$T$34*I32)+(RESULTADOS_R!$T$35*I31)+(RESULTADOS_R!$T$36*I30)</f>
        <v>1.3117002645489812E-4</v>
      </c>
      <c r="O34">
        <f t="shared" si="4"/>
        <v>-3.641616398108465E-4</v>
      </c>
      <c r="P34" s="3"/>
      <c r="Q34" t="s">
        <v>133</v>
      </c>
      <c r="R34" t="s">
        <v>244</v>
      </c>
      <c r="S34">
        <v>-3.1663807766250128E-2</v>
      </c>
      <c r="T34">
        <f>RESULTADOS_R!$T$37</f>
        <v>-1.944E-3</v>
      </c>
      <c r="U34">
        <f t="shared" si="1"/>
        <v>-2.9719807766250127E-2</v>
      </c>
      <c r="V34" s="3"/>
      <c r="W34" t="s">
        <v>133</v>
      </c>
      <c r="X34" t="s">
        <v>244</v>
      </c>
      <c r="Y34">
        <v>-4.9839319645674729E-2</v>
      </c>
      <c r="Z34">
        <f>RESULTADOS_R!$T$38</f>
        <v>-1.799E-3</v>
      </c>
      <c r="AA34">
        <f t="shared" si="2"/>
        <v>-4.8040319645674727E-2</v>
      </c>
      <c r="AB34" s="3"/>
      <c r="AC34" t="s">
        <v>133</v>
      </c>
      <c r="AD34" t="s">
        <v>244</v>
      </c>
      <c r="AE34">
        <v>2.2622679123293979E-3</v>
      </c>
      <c r="AF34">
        <v>-8.2442621335458485E-3</v>
      </c>
      <c r="AG34">
        <v>8.3279415743928373E-3</v>
      </c>
      <c r="AH34">
        <v>5.4374106062752836E-3</v>
      </c>
      <c r="AI34">
        <v>5.2179915283469475E-4</v>
      </c>
      <c r="AJ34">
        <f>RESULTADOS_R!$T$39+(RESULTADOS_R!$T$40*AE33)+(RESULTADOS_R!$T$41*AE32)+(RESULTADOS_R!$T$42*AE31)+(RESULTADOS_R!$T$43*AE30)</f>
        <v>-1.9415345114004257E-3</v>
      </c>
      <c r="AK34">
        <f t="shared" si="5"/>
        <v>4.2038024237298233E-3</v>
      </c>
      <c r="AL34" s="3"/>
      <c r="AM34" t="s">
        <v>133</v>
      </c>
      <c r="AN34" t="s">
        <v>244</v>
      </c>
      <c r="AO34">
        <v>-3.7943777543216805E-3</v>
      </c>
      <c r="AP34">
        <v>-1.7135025102650192E-2</v>
      </c>
      <c r="AQ34">
        <v>9.8688714260272373E-3</v>
      </c>
      <c r="AR34">
        <v>7.2247192155757284E-3</v>
      </c>
      <c r="AS34">
        <v>-5.4955409675951656E-3</v>
      </c>
      <c r="AT34">
        <f>RESULTADOS_R!$T$44+(RESULTADOS_R!$T$45*AO33)+(RESULTADOS_R!$T$46*AO32)+(RESULTADOS_R!$T$47*AO31)+(RESULTADOS_R!$T$48*AO30)</f>
        <v>-6.0107396308847622E-3</v>
      </c>
      <c r="AU34">
        <f t="shared" si="6"/>
        <v>2.2163618765630817E-3</v>
      </c>
      <c r="AV34" s="3"/>
      <c r="AW34" t="s">
        <v>133</v>
      </c>
      <c r="AX34" t="s">
        <v>244</v>
      </c>
      <c r="AY34">
        <v>-1.565904096784229E-3</v>
      </c>
      <c r="AZ34">
        <f>RESULTADOS_R!$T$49</f>
        <v>3.5589999999999998E-4</v>
      </c>
      <c r="BA34">
        <f t="shared" si="3"/>
        <v>-1.9218040967842289E-3</v>
      </c>
    </row>
    <row r="35" spans="1:53" x14ac:dyDescent="0.25">
      <c r="A35" t="s">
        <v>133</v>
      </c>
      <c r="B35" t="s">
        <v>245</v>
      </c>
      <c r="C35">
        <v>9.7725988458089302E-3</v>
      </c>
      <c r="D35">
        <f>RESULTADOS_R!$T$31</f>
        <v>2.8909999999999998E-4</v>
      </c>
      <c r="E35">
        <f t="shared" si="0"/>
        <v>9.4834988458089298E-3</v>
      </c>
      <c r="F35" s="3"/>
      <c r="G35" t="s">
        <v>133</v>
      </c>
      <c r="H35" t="s">
        <v>245</v>
      </c>
      <c r="I35">
        <v>1.1650259231441982E-4</v>
      </c>
      <c r="J35">
        <v>-2.3299161335594838E-4</v>
      </c>
      <c r="K35">
        <v>-2.3293734090899741E-4</v>
      </c>
      <c r="L35">
        <v>4.6592895426490088E-4</v>
      </c>
      <c r="M35">
        <v>-2.3299161335594838E-4</v>
      </c>
      <c r="N35">
        <f>RESULTADOS_R!$T$32+(RESULTADOS_R!$T$33*I34)+(RESULTADOS_R!$T$34*I33)+(RESULTADOS_R!$T$35*I32)+(RESULTADOS_R!$T$36*I31)</f>
        <v>-1.5612852925374077E-4</v>
      </c>
      <c r="O35">
        <f t="shared" si="4"/>
        <v>2.7263112156816061E-4</v>
      </c>
      <c r="P35" s="3"/>
      <c r="Q35" t="s">
        <v>133</v>
      </c>
      <c r="R35" t="s">
        <v>245</v>
      </c>
      <c r="S35">
        <v>3.5934470541556039E-2</v>
      </c>
      <c r="T35">
        <f>RESULTADOS_R!$T$37</f>
        <v>-1.944E-3</v>
      </c>
      <c r="U35">
        <f t="shared" si="1"/>
        <v>3.787847054155604E-2</v>
      </c>
      <c r="V35" s="3"/>
      <c r="W35" t="s">
        <v>133</v>
      </c>
      <c r="X35" t="s">
        <v>245</v>
      </c>
      <c r="Y35">
        <v>8.6956629512366421E-2</v>
      </c>
      <c r="Z35">
        <f>RESULTADOS_R!$T$38</f>
        <v>-1.799E-3</v>
      </c>
      <c r="AA35">
        <f t="shared" si="2"/>
        <v>8.8755629512366416E-2</v>
      </c>
      <c r="AB35" s="3"/>
      <c r="AC35" t="s">
        <v>133</v>
      </c>
      <c r="AD35" t="s">
        <v>245</v>
      </c>
      <c r="AE35">
        <v>1.0736210148145093E-3</v>
      </c>
      <c r="AF35">
        <v>2.2622679123293979E-3</v>
      </c>
      <c r="AG35">
        <v>-8.2442621335458485E-3</v>
      </c>
      <c r="AH35">
        <v>8.3279415743928373E-3</v>
      </c>
      <c r="AI35">
        <v>5.4374106062752836E-3</v>
      </c>
      <c r="AJ35">
        <f>RESULTADOS_R!$T$39+(RESULTADOS_R!$T$40*AE34)+(RESULTADOS_R!$T$41*AE33)+(RESULTADOS_R!$T$42*AE32)+(RESULTADOS_R!$T$43*AE31)</f>
        <v>2.2564564232554298E-3</v>
      </c>
      <c r="AK35">
        <f t="shared" si="5"/>
        <v>-1.1828354084409205E-3</v>
      </c>
      <c r="AL35" s="3"/>
      <c r="AM35" t="s">
        <v>133</v>
      </c>
      <c r="AN35" t="s">
        <v>245</v>
      </c>
      <c r="AO35">
        <v>2.3845835995220401E-3</v>
      </c>
      <c r="AP35">
        <v>-3.7943777543216805E-3</v>
      </c>
      <c r="AQ35">
        <v>-1.7135025102650192E-2</v>
      </c>
      <c r="AR35">
        <v>9.8688714260272373E-3</v>
      </c>
      <c r="AS35">
        <v>7.2247192155757284E-3</v>
      </c>
      <c r="AT35">
        <f>RESULTADOS_R!$T$44+(RESULTADOS_R!$T$45*AO34)+(RESULTADOS_R!$T$46*AO33)+(RESULTADOS_R!$T$47*AO32)+(RESULTADOS_R!$T$48*AO31)</f>
        <v>5.3316553617566691E-3</v>
      </c>
      <c r="AU35">
        <f t="shared" si="6"/>
        <v>-2.947071762234629E-3</v>
      </c>
      <c r="AV35" s="3"/>
      <c r="AW35" t="s">
        <v>133</v>
      </c>
      <c r="AX35" t="s">
        <v>245</v>
      </c>
      <c r="AY35">
        <v>-4.8838710571988304E-3</v>
      </c>
      <c r="AZ35">
        <f>RESULTADOS_R!$T$49</f>
        <v>3.5589999999999998E-4</v>
      </c>
      <c r="BA35">
        <f t="shared" si="3"/>
        <v>-5.2397710571988306E-3</v>
      </c>
    </row>
    <row r="36" spans="1:53" x14ac:dyDescent="0.25">
      <c r="A36" t="s">
        <v>133</v>
      </c>
      <c r="B36" t="s">
        <v>246</v>
      </c>
      <c r="C36">
        <v>1.9561396400402161E-3</v>
      </c>
      <c r="D36">
        <f>RESULTADOS_R!$T$31</f>
        <v>2.8909999999999998E-4</v>
      </c>
      <c r="E36">
        <f t="shared" si="0"/>
        <v>1.6670396400402161E-3</v>
      </c>
      <c r="F36" s="3"/>
      <c r="G36" t="s">
        <v>133</v>
      </c>
      <c r="H36" t="s">
        <v>246</v>
      </c>
      <c r="I36">
        <v>1.1648902104133439E-4</v>
      </c>
      <c r="J36">
        <v>1.1650259231441982E-4</v>
      </c>
      <c r="K36">
        <v>-2.3299161335594838E-4</v>
      </c>
      <c r="L36">
        <v>-2.3293734090899741E-4</v>
      </c>
      <c r="M36">
        <v>4.6592895426490088E-4</v>
      </c>
      <c r="N36">
        <f>RESULTADOS_R!$T$32+(RESULTADOS_R!$T$33*I35)+(RESULTADOS_R!$T$34*I34)+(RESULTADOS_R!$T$35*I33)+(RESULTADOS_R!$T$36*I32)</f>
        <v>-3.8675900712960097E-4</v>
      </c>
      <c r="O36">
        <f t="shared" si="4"/>
        <v>5.032480281709354E-4</v>
      </c>
      <c r="P36" s="3"/>
      <c r="Q36" t="s">
        <v>133</v>
      </c>
      <c r="R36" t="s">
        <v>246</v>
      </c>
      <c r="S36">
        <v>2.6144371652107479E-2</v>
      </c>
      <c r="T36">
        <f>RESULTADOS_R!$T$37</f>
        <v>-1.944E-3</v>
      </c>
      <c r="U36">
        <f t="shared" si="1"/>
        <v>2.808837165210748E-2</v>
      </c>
      <c r="V36" s="3"/>
      <c r="W36" t="s">
        <v>133</v>
      </c>
      <c r="X36" t="s">
        <v>246</v>
      </c>
      <c r="Y36">
        <v>2.9288945789636998E-2</v>
      </c>
      <c r="Z36">
        <f>RESULTADOS_R!$T$38</f>
        <v>-1.799E-3</v>
      </c>
      <c r="AA36">
        <f t="shared" si="2"/>
        <v>3.1087945789636997E-2</v>
      </c>
      <c r="AB36" s="3"/>
      <c r="AC36" t="s">
        <v>133</v>
      </c>
      <c r="AD36" t="s">
        <v>246</v>
      </c>
      <c r="AE36">
        <v>-8.828932967595151E-3</v>
      </c>
      <c r="AF36">
        <v>1.0736210148145093E-3</v>
      </c>
      <c r="AG36">
        <v>2.2622679123293979E-3</v>
      </c>
      <c r="AH36">
        <v>-8.2442621335458485E-3</v>
      </c>
      <c r="AI36">
        <v>8.3279415743928373E-3</v>
      </c>
      <c r="AJ36">
        <f>RESULTADOS_R!$T$39+(RESULTADOS_R!$T$40*AE35)+(RESULTADOS_R!$T$41*AE34)+(RESULTADOS_R!$T$42*AE33)+(RESULTADOS_R!$T$43*AE32)</f>
        <v>1.6009881219922512E-4</v>
      </c>
      <c r="AK36">
        <f t="shared" si="5"/>
        <v>-8.9890317797943764E-3</v>
      </c>
      <c r="AL36" s="3"/>
      <c r="AM36" t="s">
        <v>133</v>
      </c>
      <c r="AN36" t="s">
        <v>246</v>
      </c>
      <c r="AO36">
        <v>-1.042762316225905E-2</v>
      </c>
      <c r="AP36">
        <v>2.3845835995220401E-3</v>
      </c>
      <c r="AQ36">
        <v>-3.7943777543216805E-3</v>
      </c>
      <c r="AR36">
        <v>-1.7135025102650192E-2</v>
      </c>
      <c r="AS36">
        <v>9.8688714260272373E-3</v>
      </c>
      <c r="AT36">
        <f>RESULTADOS_R!$T$44+(RESULTADOS_R!$T$45*AO35)+(RESULTADOS_R!$T$46*AO34)+(RESULTADOS_R!$T$47*AO33)+(RESULTADOS_R!$T$48*AO32)</f>
        <v>-2.8498233559419144E-3</v>
      </c>
      <c r="AU36">
        <f t="shared" si="6"/>
        <v>-7.577799806317136E-3</v>
      </c>
      <c r="AV36" s="3"/>
      <c r="AW36" t="s">
        <v>133</v>
      </c>
      <c r="AX36" t="s">
        <v>246</v>
      </c>
      <c r="AY36">
        <v>8.3001308650442855E-3</v>
      </c>
      <c r="AZ36">
        <f>RESULTADOS_R!$T$49</f>
        <v>3.5589999999999998E-4</v>
      </c>
      <c r="BA36">
        <f t="shared" si="3"/>
        <v>7.9442308650442862E-3</v>
      </c>
    </row>
    <row r="37" spans="1:53" x14ac:dyDescent="0.25">
      <c r="A37" t="s">
        <v>133</v>
      </c>
      <c r="B37" t="s">
        <v>247</v>
      </c>
      <c r="C37">
        <v>1.8006100904686179E-3</v>
      </c>
      <c r="D37">
        <f>RESULTADOS_R!$T$31</f>
        <v>2.8909999999999998E-4</v>
      </c>
      <c r="E37">
        <f t="shared" si="0"/>
        <v>1.5115100904686178E-3</v>
      </c>
      <c r="F37" s="3"/>
      <c r="G37" t="s">
        <v>133</v>
      </c>
      <c r="H37" t="s">
        <v>247</v>
      </c>
      <c r="I37">
        <v>-5.8258084956786947E-4</v>
      </c>
      <c r="J37">
        <v>1.1648902104133439E-4</v>
      </c>
      <c r="K37">
        <v>1.1650259231441982E-4</v>
      </c>
      <c r="L37">
        <v>-2.3299161335594838E-4</v>
      </c>
      <c r="M37">
        <v>-2.3293734090899741E-4</v>
      </c>
      <c r="N37">
        <f>RESULTADOS_R!$T$32+(RESULTADOS_R!$T$33*I36)+(RESULTADOS_R!$T$34*I35)+(RESULTADOS_R!$T$35*I34)+(RESULTADOS_R!$T$36*I33)</f>
        <v>-1.8524346422099162E-4</v>
      </c>
      <c r="O37">
        <f t="shared" si="4"/>
        <v>-3.9733738534687788E-4</v>
      </c>
      <c r="P37" s="3"/>
      <c r="Q37" t="s">
        <v>133</v>
      </c>
      <c r="R37" t="s">
        <v>247</v>
      </c>
      <c r="S37">
        <v>-1.9858366042071817E-2</v>
      </c>
      <c r="T37">
        <f>RESULTADOS_R!$T$37</f>
        <v>-1.944E-3</v>
      </c>
      <c r="U37">
        <f t="shared" si="1"/>
        <v>-1.7914366042071816E-2</v>
      </c>
      <c r="V37" s="3"/>
      <c r="W37" t="s">
        <v>133</v>
      </c>
      <c r="X37" t="s">
        <v>247</v>
      </c>
      <c r="Y37">
        <v>-2.0624609591700517E-2</v>
      </c>
      <c r="Z37">
        <f>RESULTADOS_R!$T$38</f>
        <v>-1.799E-3</v>
      </c>
      <c r="AA37">
        <f t="shared" si="2"/>
        <v>-1.8825609591700519E-2</v>
      </c>
      <c r="AB37" s="3"/>
      <c r="AC37" t="s">
        <v>133</v>
      </c>
      <c r="AD37" t="s">
        <v>247</v>
      </c>
      <c r="AE37">
        <v>5.7273092297155659E-3</v>
      </c>
      <c r="AF37">
        <v>-8.828932967595151E-3</v>
      </c>
      <c r="AG37">
        <v>1.0736210148145093E-3</v>
      </c>
      <c r="AH37">
        <v>2.2622679123293979E-3</v>
      </c>
      <c r="AI37">
        <v>-8.2442621335458485E-3</v>
      </c>
      <c r="AJ37">
        <f>RESULTADOS_R!$T$39+(RESULTADOS_R!$T$40*AE36)+(RESULTADOS_R!$T$41*AE35)+(RESULTADOS_R!$T$42*AE34)+(RESULTADOS_R!$T$43*AE33)</f>
        <v>-8.4778919325804308E-4</v>
      </c>
      <c r="AK37">
        <f t="shared" si="5"/>
        <v>6.575098422973609E-3</v>
      </c>
      <c r="AL37" s="3"/>
      <c r="AM37" t="s">
        <v>133</v>
      </c>
      <c r="AN37" t="s">
        <v>247</v>
      </c>
      <c r="AO37">
        <v>6.9610405891143857E-3</v>
      </c>
      <c r="AP37">
        <v>-1.042762316225905E-2</v>
      </c>
      <c r="AQ37">
        <v>2.3845835995220401E-3</v>
      </c>
      <c r="AR37">
        <v>-3.7943777543216805E-3</v>
      </c>
      <c r="AS37">
        <v>-1.7135025102650192E-2</v>
      </c>
      <c r="AT37">
        <f>RESULTADOS_R!$T$44+(RESULTADOS_R!$T$45*AO36)+(RESULTADOS_R!$T$46*AO35)+(RESULTADOS_R!$T$47*AO34)+(RESULTADOS_R!$T$48*AO33)</f>
        <v>-3.8885116341825345E-3</v>
      </c>
      <c r="AU37">
        <f t="shared" si="6"/>
        <v>1.0849552223296921E-2</v>
      </c>
      <c r="AV37" s="3"/>
      <c r="AW37" t="s">
        <v>133</v>
      </c>
      <c r="AX37" t="s">
        <v>247</v>
      </c>
      <c r="AY37">
        <v>-2.5957185242816241E-3</v>
      </c>
      <c r="AZ37">
        <f>RESULTADOS_R!$T$49</f>
        <v>3.5589999999999998E-4</v>
      </c>
      <c r="BA37">
        <f t="shared" si="3"/>
        <v>-2.9516185242816242E-3</v>
      </c>
    </row>
    <row r="38" spans="1:53" x14ac:dyDescent="0.25">
      <c r="A38" t="s">
        <v>133</v>
      </c>
      <c r="B38" t="s">
        <v>248</v>
      </c>
      <c r="C38">
        <v>3.6563112031107003E-3</v>
      </c>
      <c r="D38">
        <f>RESULTADOS_R!$T$31</f>
        <v>2.8909999999999998E-4</v>
      </c>
      <c r="E38">
        <f t="shared" si="0"/>
        <v>3.3672112031107003E-3</v>
      </c>
      <c r="F38" s="3"/>
      <c r="G38" t="s">
        <v>133</v>
      </c>
      <c r="H38" t="s">
        <v>248</v>
      </c>
      <c r="I38">
        <v>1.0484012842168139E-3</v>
      </c>
      <c r="J38">
        <v>-5.8258084956786947E-4</v>
      </c>
      <c r="K38">
        <v>1.1648902104133439E-4</v>
      </c>
      <c r="L38">
        <v>1.1650259231441982E-4</v>
      </c>
      <c r="M38">
        <v>-2.3299161335594838E-4</v>
      </c>
      <c r="N38">
        <f>RESULTADOS_R!$T$32+(RESULTADOS_R!$T$33*I37)+(RESULTADOS_R!$T$34*I36)+(RESULTADOS_R!$T$35*I35)+(RESULTADOS_R!$T$36*I34)</f>
        <v>-1.4809829287121238E-4</v>
      </c>
      <c r="O38">
        <f t="shared" si="4"/>
        <v>1.1964995770880264E-3</v>
      </c>
      <c r="P38" s="3"/>
      <c r="Q38" t="s">
        <v>133</v>
      </c>
      <c r="R38" t="s">
        <v>248</v>
      </c>
      <c r="S38">
        <v>3.5775828594630424E-2</v>
      </c>
      <c r="T38">
        <f>RESULTADOS_R!$T$37</f>
        <v>-1.944E-3</v>
      </c>
      <c r="U38">
        <f t="shared" si="1"/>
        <v>3.7719828594630425E-2</v>
      </c>
      <c r="V38" s="3"/>
      <c r="W38" t="s">
        <v>133</v>
      </c>
      <c r="X38" t="s">
        <v>248</v>
      </c>
      <c r="Y38">
        <v>5.8420347603566208E-2</v>
      </c>
      <c r="Z38">
        <f>RESULTADOS_R!$T$38</f>
        <v>-1.799E-3</v>
      </c>
      <c r="AA38">
        <f t="shared" si="2"/>
        <v>6.021934760356621E-2</v>
      </c>
      <c r="AB38" s="3"/>
      <c r="AC38" t="s">
        <v>133</v>
      </c>
      <c r="AD38" t="s">
        <v>248</v>
      </c>
      <c r="AE38">
        <v>-3.2231693700247579E-3</v>
      </c>
      <c r="AF38">
        <v>5.7273092297155659E-3</v>
      </c>
      <c r="AG38">
        <v>-8.828932967595151E-3</v>
      </c>
      <c r="AH38">
        <v>1.0736210148145093E-3</v>
      </c>
      <c r="AI38">
        <v>2.2622679123293979E-3</v>
      </c>
      <c r="AJ38">
        <f>RESULTADOS_R!$T$39+(RESULTADOS_R!$T$40*AE37)+(RESULTADOS_R!$T$41*AE36)+(RESULTADOS_R!$T$42*AE35)+(RESULTADOS_R!$T$43*AE34)</f>
        <v>2.5320138911916448E-3</v>
      </c>
      <c r="AK38">
        <f t="shared" si="5"/>
        <v>-5.7551832612164032E-3</v>
      </c>
      <c r="AL38" s="3"/>
      <c r="AM38" t="s">
        <v>133</v>
      </c>
      <c r="AN38" t="s">
        <v>248</v>
      </c>
      <c r="AO38">
        <v>-2.0936652803714827E-2</v>
      </c>
      <c r="AP38">
        <v>6.9610405891143857E-3</v>
      </c>
      <c r="AQ38">
        <v>-1.042762316225905E-2</v>
      </c>
      <c r="AR38">
        <v>2.3845835995220401E-3</v>
      </c>
      <c r="AS38">
        <v>-3.7943777543216805E-3</v>
      </c>
      <c r="AT38">
        <f>RESULTADOS_R!$T$44+(RESULTADOS_R!$T$45*AO37)+(RESULTADOS_R!$T$46*AO36)+(RESULTADOS_R!$T$47*AO35)+(RESULTADOS_R!$T$48*AO34)</f>
        <v>5.707538129026129E-3</v>
      </c>
      <c r="AU38">
        <f t="shared" si="6"/>
        <v>-2.6644190932740956E-2</v>
      </c>
      <c r="AV38" s="3"/>
      <c r="AW38" t="s">
        <v>133</v>
      </c>
      <c r="AX38" t="s">
        <v>248</v>
      </c>
      <c r="AY38">
        <v>2.2450519886208367E-3</v>
      </c>
      <c r="AZ38">
        <f>RESULTADOS_R!$T$49</f>
        <v>3.5589999999999998E-4</v>
      </c>
      <c r="BA38">
        <f t="shared" si="3"/>
        <v>1.8891519886208368E-3</v>
      </c>
    </row>
    <row r="39" spans="1:53" x14ac:dyDescent="0.25">
      <c r="A39" t="s">
        <v>133</v>
      </c>
      <c r="B39" t="s">
        <v>249</v>
      </c>
      <c r="C39">
        <v>6.4577458791398642E-3</v>
      </c>
      <c r="D39">
        <f>RESULTADOS_R!$T$31</f>
        <v>2.8909999999999998E-4</v>
      </c>
      <c r="E39">
        <f t="shared" si="0"/>
        <v>6.1686458791398646E-3</v>
      </c>
      <c r="F39" s="3"/>
      <c r="G39" t="s">
        <v>133</v>
      </c>
      <c r="H39" t="s">
        <v>249</v>
      </c>
      <c r="I39">
        <v>-2.3288309373999748E-4</v>
      </c>
      <c r="J39">
        <v>1.0484012842168139E-3</v>
      </c>
      <c r="K39">
        <v>-5.8258084956786947E-4</v>
      </c>
      <c r="L39">
        <v>1.1648902104133439E-4</v>
      </c>
      <c r="M39">
        <v>1.1650259231441982E-4</v>
      </c>
      <c r="N39">
        <f>RESULTADOS_R!$T$32+(RESULTADOS_R!$T$33*I38)+(RESULTADOS_R!$T$34*I37)+(RESULTADOS_R!$T$35*I36)+(RESULTADOS_R!$T$36*I35)</f>
        <v>-3.2181355944481155E-4</v>
      </c>
      <c r="O39">
        <f t="shared" si="4"/>
        <v>8.8930465704814072E-5</v>
      </c>
      <c r="P39" s="3"/>
      <c r="Q39" t="s">
        <v>133</v>
      </c>
      <c r="R39" t="s">
        <v>249</v>
      </c>
      <c r="S39">
        <v>-4.0627771492367515E-3</v>
      </c>
      <c r="T39">
        <f>RESULTADOS_R!$T$37</f>
        <v>-1.944E-3</v>
      </c>
      <c r="U39">
        <f t="shared" si="1"/>
        <v>-2.1187771492367515E-3</v>
      </c>
      <c r="V39" s="3"/>
      <c r="W39" t="s">
        <v>133</v>
      </c>
      <c r="X39" t="s">
        <v>249</v>
      </c>
      <c r="Y39">
        <v>4.8727157968091279E-3</v>
      </c>
      <c r="Z39">
        <f>RESULTADOS_R!$T$38</f>
        <v>-1.799E-3</v>
      </c>
      <c r="AA39">
        <f t="shared" si="2"/>
        <v>6.6717157968091282E-3</v>
      </c>
      <c r="AB39" s="3"/>
      <c r="AC39" t="s">
        <v>133</v>
      </c>
      <c r="AD39" t="s">
        <v>249</v>
      </c>
      <c r="AE39">
        <v>-9.9865877209949858E-3</v>
      </c>
      <c r="AF39">
        <v>-3.2231693700247579E-3</v>
      </c>
      <c r="AG39">
        <v>5.7273092297155659E-3</v>
      </c>
      <c r="AH39">
        <v>-8.828932967595151E-3</v>
      </c>
      <c r="AI39">
        <v>1.0736210148145093E-3</v>
      </c>
      <c r="AJ39">
        <f>RESULTADOS_R!$T$39+(RESULTADOS_R!$T$40*AE38)+(RESULTADOS_R!$T$41*AE37)+(RESULTADOS_R!$T$42*AE36)+(RESULTADOS_R!$T$43*AE35)</f>
        <v>-1.0655155041184169E-3</v>
      </c>
      <c r="AK39">
        <f t="shared" si="5"/>
        <v>-8.9210722168765692E-3</v>
      </c>
      <c r="AL39" s="3"/>
      <c r="AM39" t="s">
        <v>133</v>
      </c>
      <c r="AN39" t="s">
        <v>249</v>
      </c>
      <c r="AO39">
        <v>-1.0635357180556054E-3</v>
      </c>
      <c r="AP39">
        <v>-2.0936652803714827E-2</v>
      </c>
      <c r="AQ39">
        <v>6.9610405891143857E-3</v>
      </c>
      <c r="AR39">
        <v>-1.042762316225905E-2</v>
      </c>
      <c r="AS39">
        <v>2.3845835995220401E-3</v>
      </c>
      <c r="AT39">
        <f>RESULTADOS_R!$T$44+(RESULTADOS_R!$T$45*AO38)+(RESULTADOS_R!$T$46*AO37)+(RESULTADOS_R!$T$47*AO36)+(RESULTADOS_R!$T$48*AO35)</f>
        <v>-1.1012172055691169E-2</v>
      </c>
      <c r="AU39">
        <f t="shared" si="6"/>
        <v>9.9486363376355639E-3</v>
      </c>
      <c r="AV39" s="3"/>
      <c r="AW39" t="s">
        <v>133</v>
      </c>
      <c r="AX39" t="s">
        <v>249</v>
      </c>
      <c r="AY39">
        <v>-2.4048448973515934E-3</v>
      </c>
      <c r="AZ39">
        <f>RESULTADOS_R!$T$49</f>
        <v>3.5589999999999998E-4</v>
      </c>
      <c r="BA39">
        <f t="shared" si="3"/>
        <v>-2.7607448973515935E-3</v>
      </c>
    </row>
    <row r="40" spans="1:53" x14ac:dyDescent="0.25">
      <c r="A40" t="s">
        <v>133</v>
      </c>
      <c r="B40" t="s">
        <v>250</v>
      </c>
      <c r="C40">
        <v>4.1752820085397572E-3</v>
      </c>
      <c r="D40">
        <f>RESULTADOS_R!$T$31</f>
        <v>2.8909999999999998E-4</v>
      </c>
      <c r="E40">
        <f t="shared" si="0"/>
        <v>3.8861820085397572E-3</v>
      </c>
      <c r="F40" s="3"/>
      <c r="G40" t="s">
        <v>133</v>
      </c>
      <c r="H40" t="s">
        <v>250</v>
      </c>
      <c r="I40">
        <v>9.3120714446484761E-4</v>
      </c>
      <c r="J40">
        <v>-2.3288309373999748E-4</v>
      </c>
      <c r="K40">
        <v>1.0484012842168139E-3</v>
      </c>
      <c r="L40">
        <v>-5.8258084956786947E-4</v>
      </c>
      <c r="M40">
        <v>1.1648902104133439E-4</v>
      </c>
      <c r="N40">
        <f>RESULTADOS_R!$T$32+(RESULTADOS_R!$T$33*I39)+(RESULTADOS_R!$T$34*I38)+(RESULTADOS_R!$T$35*I37)+(RESULTADOS_R!$T$36*I36)</f>
        <v>-3.8491449814124926E-4</v>
      </c>
      <c r="O40">
        <f t="shared" si="4"/>
        <v>1.3161216426060968E-3</v>
      </c>
      <c r="P40" s="3"/>
      <c r="Q40" t="s">
        <v>133</v>
      </c>
      <c r="R40" t="s">
        <v>250</v>
      </c>
      <c r="S40">
        <v>-2.4399041075615555E-2</v>
      </c>
      <c r="T40">
        <f>RESULTADOS_R!$T$37</f>
        <v>-1.944E-3</v>
      </c>
      <c r="U40">
        <f t="shared" si="1"/>
        <v>-2.2455041075615554E-2</v>
      </c>
      <c r="V40" s="3"/>
      <c r="W40" t="s">
        <v>133</v>
      </c>
      <c r="X40" t="s">
        <v>250</v>
      </c>
      <c r="Y40">
        <v>-1.5281480730530109E-2</v>
      </c>
      <c r="Z40">
        <f>RESULTADOS_R!$T$38</f>
        <v>-1.799E-3</v>
      </c>
      <c r="AA40">
        <f t="shared" si="2"/>
        <v>-1.3482480730530108E-2</v>
      </c>
      <c r="AB40" s="3"/>
      <c r="AC40" t="s">
        <v>133</v>
      </c>
      <c r="AD40" t="s">
        <v>250</v>
      </c>
      <c r="AE40">
        <v>1.2456566456347396E-2</v>
      </c>
      <c r="AF40">
        <v>-9.9865877209949858E-3</v>
      </c>
      <c r="AG40">
        <v>-3.2231693700247579E-3</v>
      </c>
      <c r="AH40">
        <v>5.7273092297155659E-3</v>
      </c>
      <c r="AI40">
        <v>-8.828932967595151E-3</v>
      </c>
      <c r="AJ40">
        <f>RESULTADOS_R!$T$39+(RESULTADOS_R!$T$40*AE39)+(RESULTADOS_R!$T$41*AE38)+(RESULTADOS_R!$T$42*AE37)+(RESULTADOS_R!$T$43*AE36)</f>
        <v>-1.1483167419608682E-4</v>
      </c>
      <c r="AK40">
        <f t="shared" si="5"/>
        <v>1.2571398130543483E-2</v>
      </c>
      <c r="AL40" s="3"/>
      <c r="AM40" t="s">
        <v>133</v>
      </c>
      <c r="AN40" t="s">
        <v>250</v>
      </c>
      <c r="AO40">
        <v>1.1700246667141307E-2</v>
      </c>
      <c r="AP40">
        <v>-1.0635357180556054E-3</v>
      </c>
      <c r="AQ40">
        <v>-2.0936652803714827E-2</v>
      </c>
      <c r="AR40">
        <v>6.9610405891143857E-3</v>
      </c>
      <c r="AS40">
        <v>-1.042762316225905E-2</v>
      </c>
      <c r="AT40">
        <f>RESULTADOS_R!$T$44+(RESULTADOS_R!$T$45*AO39)+(RESULTADOS_R!$T$46*AO38)+(RESULTADOS_R!$T$47*AO37)+(RESULTADOS_R!$T$48*AO36)</f>
        <v>7.4684288237128827E-3</v>
      </c>
      <c r="AU40">
        <f t="shared" si="6"/>
        <v>4.231817843428424E-3</v>
      </c>
      <c r="AV40" s="3"/>
      <c r="AW40" t="s">
        <v>133</v>
      </c>
      <c r="AX40" t="s">
        <v>250</v>
      </c>
      <c r="AY40">
        <v>5.1325486853322378E-3</v>
      </c>
      <c r="AZ40">
        <f>RESULTADOS_R!$T$49</f>
        <v>3.5589999999999998E-4</v>
      </c>
      <c r="BA40">
        <f t="shared" si="3"/>
        <v>4.7766486853322377E-3</v>
      </c>
    </row>
    <row r="41" spans="1:53" x14ac:dyDescent="0.25">
      <c r="A41" t="s">
        <v>133</v>
      </c>
      <c r="B41" t="s">
        <v>251</v>
      </c>
      <c r="C41">
        <v>3.7109750828425141E-3</v>
      </c>
      <c r="D41">
        <f>RESULTADOS_R!$T$31</f>
        <v>2.8909999999999998E-4</v>
      </c>
      <c r="E41">
        <f t="shared" si="0"/>
        <v>3.4218750828425141E-3</v>
      </c>
      <c r="F41" s="3"/>
      <c r="G41" t="s">
        <v>133</v>
      </c>
      <c r="H41" t="s">
        <v>251</v>
      </c>
      <c r="I41">
        <v>4.6527859394674965E-4</v>
      </c>
      <c r="J41">
        <v>9.3120714446484761E-4</v>
      </c>
      <c r="K41">
        <v>-2.3288309373999748E-4</v>
      </c>
      <c r="L41">
        <v>1.0484012842168139E-3</v>
      </c>
      <c r="M41">
        <v>-5.8258084956786947E-4</v>
      </c>
      <c r="N41">
        <f>RESULTADOS_R!$T$32+(RESULTADOS_R!$T$33*I40)+(RESULTADOS_R!$T$34*I39)+(RESULTADOS_R!$T$35*I38)+(RESULTADOS_R!$T$36*I37)</f>
        <v>-1.7869569960951277E-4</v>
      </c>
      <c r="O41">
        <f t="shared" si="4"/>
        <v>6.4397429355626248E-4</v>
      </c>
      <c r="P41" s="3"/>
      <c r="Q41" t="s">
        <v>133</v>
      </c>
      <c r="R41" t="s">
        <v>251</v>
      </c>
      <c r="S41">
        <v>-5.3281558590374976E-3</v>
      </c>
      <c r="T41">
        <f>RESULTADOS_R!$T$37</f>
        <v>-1.944E-3</v>
      </c>
      <c r="U41">
        <f t="shared" si="1"/>
        <v>-3.3841558590374976E-3</v>
      </c>
      <c r="V41" s="3"/>
      <c r="W41" t="s">
        <v>133</v>
      </c>
      <c r="X41" t="s">
        <v>251</v>
      </c>
      <c r="Y41">
        <v>-1.1321735395884758E-2</v>
      </c>
      <c r="Z41">
        <f>RESULTADOS_R!$T$38</f>
        <v>-1.799E-3</v>
      </c>
      <c r="AA41">
        <f t="shared" si="2"/>
        <v>-9.5227353958847582E-3</v>
      </c>
      <c r="AB41" s="3"/>
      <c r="AC41" t="s">
        <v>133</v>
      </c>
      <c r="AD41" t="s">
        <v>251</v>
      </c>
      <c r="AE41">
        <v>1.3873291960970017E-2</v>
      </c>
      <c r="AF41">
        <v>1.2456566456347396E-2</v>
      </c>
      <c r="AG41">
        <v>-9.9865877209949858E-3</v>
      </c>
      <c r="AH41">
        <v>-3.2231693700247579E-3</v>
      </c>
      <c r="AI41">
        <v>5.7273092297155659E-3</v>
      </c>
      <c r="AJ41">
        <f>RESULTADOS_R!$T$39+(RESULTADOS_R!$T$40*AE40)+(RESULTADOS_R!$T$41*AE39)+(RESULTADOS_R!$T$42*AE38)+(RESULTADOS_R!$T$43*AE37)</f>
        <v>3.3805961472238898E-3</v>
      </c>
      <c r="AK41">
        <f t="shared" si="5"/>
        <v>1.0492695813746126E-2</v>
      </c>
      <c r="AL41" s="3"/>
      <c r="AM41" t="s">
        <v>133</v>
      </c>
      <c r="AN41" t="s">
        <v>251</v>
      </c>
      <c r="AO41">
        <v>1.666687864655618E-2</v>
      </c>
      <c r="AP41">
        <v>1.1700246667141307E-2</v>
      </c>
      <c r="AQ41">
        <v>-1.0635357180556054E-3</v>
      </c>
      <c r="AR41">
        <v>-2.0936652803714827E-2</v>
      </c>
      <c r="AS41">
        <v>6.9610405891143857E-3</v>
      </c>
      <c r="AT41">
        <f>RESULTADOS_R!$T$44+(RESULTADOS_R!$T$45*AO40)+(RESULTADOS_R!$T$46*AO39)+(RESULTADOS_R!$T$47*AO38)+(RESULTADOS_R!$T$48*AO37)</f>
        <v>-1.4224980723182693E-3</v>
      </c>
      <c r="AU41">
        <f t="shared" si="6"/>
        <v>1.808937671887445E-2</v>
      </c>
      <c r="AV41" s="3"/>
      <c r="AW41" t="s">
        <v>133</v>
      </c>
      <c r="AX41" t="s">
        <v>251</v>
      </c>
      <c r="AY41">
        <v>-2.8621857753955478E-4</v>
      </c>
      <c r="AZ41">
        <f>RESULTADOS_R!$T$49</f>
        <v>3.5589999999999998E-4</v>
      </c>
      <c r="BA41">
        <f t="shared" si="3"/>
        <v>-6.4211857753955471E-4</v>
      </c>
    </row>
    <row r="42" spans="1:53" x14ac:dyDescent="0.25">
      <c r="A42" t="s">
        <v>133</v>
      </c>
      <c r="B42" t="s">
        <v>252</v>
      </c>
      <c r="C42">
        <v>8.9369313974392854E-4</v>
      </c>
      <c r="D42">
        <f>RESULTADOS_R!$T$31</f>
        <v>2.8909999999999998E-4</v>
      </c>
      <c r="E42">
        <f t="shared" si="0"/>
        <v>6.0459313974392851E-4</v>
      </c>
      <c r="F42" s="3"/>
      <c r="G42" t="s">
        <v>133</v>
      </c>
      <c r="H42" t="s">
        <v>252</v>
      </c>
      <c r="I42">
        <v>-1.1636026446716894E-3</v>
      </c>
      <c r="J42">
        <v>4.6527859394674965E-4</v>
      </c>
      <c r="K42">
        <v>9.3120714446484761E-4</v>
      </c>
      <c r="L42">
        <v>-2.3288309373999748E-4</v>
      </c>
      <c r="M42">
        <v>1.0484012842168139E-3</v>
      </c>
      <c r="N42">
        <f>RESULTADOS_R!$T$32+(RESULTADOS_R!$T$33*I41)+(RESULTADOS_R!$T$34*I40)+(RESULTADOS_R!$T$35*I39)+(RESULTADOS_R!$T$36*I38)</f>
        <v>-7.9170131044122233E-4</v>
      </c>
      <c r="O42">
        <f t="shared" si="4"/>
        <v>-3.7190133423046709E-4</v>
      </c>
      <c r="P42" s="3"/>
      <c r="Q42" t="s">
        <v>133</v>
      </c>
      <c r="R42" t="s">
        <v>252</v>
      </c>
      <c r="S42">
        <v>0.10018520473478586</v>
      </c>
      <c r="T42">
        <f>RESULTADOS_R!$T$37</f>
        <v>-1.944E-3</v>
      </c>
      <c r="U42">
        <f t="shared" si="1"/>
        <v>0.10212920473478586</v>
      </c>
      <c r="V42" s="3"/>
      <c r="W42" t="s">
        <v>133</v>
      </c>
      <c r="X42" t="s">
        <v>252</v>
      </c>
      <c r="Y42">
        <v>7.011531176995707E-2</v>
      </c>
      <c r="Z42">
        <f>RESULTADOS_R!$T$38</f>
        <v>-1.799E-3</v>
      </c>
      <c r="AA42">
        <f t="shared" si="2"/>
        <v>7.1914311769957065E-2</v>
      </c>
      <c r="AB42" s="3"/>
      <c r="AC42" t="s">
        <v>133</v>
      </c>
      <c r="AD42" t="s">
        <v>252</v>
      </c>
      <c r="AE42">
        <v>4.1362435686928207E-3</v>
      </c>
      <c r="AF42">
        <v>1.3873291960970017E-2</v>
      </c>
      <c r="AG42">
        <v>1.2456566456347396E-2</v>
      </c>
      <c r="AH42">
        <v>-9.9865877209949858E-3</v>
      </c>
      <c r="AI42">
        <v>-3.2231693700247579E-3</v>
      </c>
      <c r="AJ42">
        <f>RESULTADOS_R!$T$39+(RESULTADOS_R!$T$40*AE41)+(RESULTADOS_R!$T$41*AE40)+(RESULTADOS_R!$T$42*AE39)+(RESULTADOS_R!$T$43*AE38)</f>
        <v>-1.1297266125365572E-3</v>
      </c>
      <c r="AK42">
        <f t="shared" si="5"/>
        <v>5.2659701812293779E-3</v>
      </c>
      <c r="AL42" s="3"/>
      <c r="AM42" t="s">
        <v>133</v>
      </c>
      <c r="AN42" t="s">
        <v>252</v>
      </c>
      <c r="AO42">
        <v>1.1059838546232686E-2</v>
      </c>
      <c r="AP42">
        <v>1.666687864655618E-2</v>
      </c>
      <c r="AQ42">
        <v>1.1700246667141307E-2</v>
      </c>
      <c r="AR42">
        <v>-1.0635357180556054E-3</v>
      </c>
      <c r="AS42">
        <v>-2.0936652803714827E-2</v>
      </c>
      <c r="AT42">
        <f>RESULTADOS_R!$T$44+(RESULTADOS_R!$T$45*AO41)+(RESULTADOS_R!$T$46*AO40)+(RESULTADOS_R!$T$47*AO39)+(RESULTADOS_R!$T$48*AO38)</f>
        <v>2.9018490133971664E-3</v>
      </c>
      <c r="AU42">
        <f t="shared" si="6"/>
        <v>8.1579895328355197E-3</v>
      </c>
      <c r="AV42" s="3"/>
      <c r="AW42" t="s">
        <v>133</v>
      </c>
      <c r="AX42" t="s">
        <v>252</v>
      </c>
      <c r="AY42">
        <v>-2.8773331808144517E-3</v>
      </c>
      <c r="AZ42">
        <f>RESULTADOS_R!$T$49</f>
        <v>3.5589999999999998E-4</v>
      </c>
      <c r="BA42">
        <f t="shared" si="3"/>
        <v>-3.2332331808144518E-3</v>
      </c>
    </row>
    <row r="43" spans="1:53" x14ac:dyDescent="0.25">
      <c r="A43" t="s">
        <v>133</v>
      </c>
      <c r="B43" t="s">
        <v>253</v>
      </c>
      <c r="C43">
        <v>-3.5155412316447126E-3</v>
      </c>
      <c r="D43">
        <f>RESULTADOS_R!$T$31</f>
        <v>2.8909999999999998E-4</v>
      </c>
      <c r="E43">
        <f t="shared" si="0"/>
        <v>-3.8046412316447126E-3</v>
      </c>
      <c r="F43" s="3"/>
      <c r="G43" t="s">
        <v>133</v>
      </c>
      <c r="H43" t="s">
        <v>253</v>
      </c>
      <c r="I43">
        <v>5.8197056871573359E-4</v>
      </c>
      <c r="J43">
        <v>-1.1636026446716894E-3</v>
      </c>
      <c r="K43">
        <v>4.6527859394674965E-4</v>
      </c>
      <c r="L43">
        <v>9.3120714446484761E-4</v>
      </c>
      <c r="M43">
        <v>-2.3288309373999748E-4</v>
      </c>
      <c r="N43">
        <f>RESULTADOS_R!$T$32+(RESULTADOS_R!$T$33*I42)+(RESULTADOS_R!$T$34*I41)+(RESULTADOS_R!$T$35*I40)+(RESULTADOS_R!$T$36*I39)</f>
        <v>-2.0535788550402897E-4</v>
      </c>
      <c r="O43">
        <f t="shared" si="4"/>
        <v>7.8732845421976261E-4</v>
      </c>
      <c r="P43" s="3"/>
      <c r="Q43" t="s">
        <v>133</v>
      </c>
      <c r="R43" t="s">
        <v>253</v>
      </c>
      <c r="S43">
        <v>-8.8451286443072732E-3</v>
      </c>
      <c r="T43">
        <f>RESULTADOS_R!$T$37</f>
        <v>-1.944E-3</v>
      </c>
      <c r="U43">
        <f t="shared" si="1"/>
        <v>-6.9011286443072736E-3</v>
      </c>
      <c r="V43" s="3"/>
      <c r="W43" t="s">
        <v>133</v>
      </c>
      <c r="X43" t="s">
        <v>253</v>
      </c>
      <c r="Y43">
        <v>-1.613475812193713E-2</v>
      </c>
      <c r="Z43">
        <f>RESULTADOS_R!$T$38</f>
        <v>-1.799E-3</v>
      </c>
      <c r="AA43">
        <f t="shared" si="2"/>
        <v>-1.4335758121937129E-2</v>
      </c>
      <c r="AB43" s="3"/>
      <c r="AC43" t="s">
        <v>133</v>
      </c>
      <c r="AD43" t="s">
        <v>253</v>
      </c>
      <c r="AE43">
        <v>3.9499578128100767E-3</v>
      </c>
      <c r="AF43">
        <v>4.1362435686928207E-3</v>
      </c>
      <c r="AG43">
        <v>1.3873291960970017E-2</v>
      </c>
      <c r="AH43">
        <v>1.2456566456347396E-2</v>
      </c>
      <c r="AI43">
        <v>-9.9865877209949858E-3</v>
      </c>
      <c r="AJ43">
        <f>RESULTADOS_R!$T$39+(RESULTADOS_R!$T$40*AE42)+(RESULTADOS_R!$T$41*AE41)+(RESULTADOS_R!$T$42*AE40)+(RESULTADOS_R!$T$43*AE39)</f>
        <v>-2.3076579784231796E-3</v>
      </c>
      <c r="AK43">
        <f t="shared" si="5"/>
        <v>6.2576157912332562E-3</v>
      </c>
      <c r="AL43" s="3"/>
      <c r="AM43" t="s">
        <v>133</v>
      </c>
      <c r="AN43" t="s">
        <v>253</v>
      </c>
      <c r="AO43">
        <v>-6.5314229950959165E-3</v>
      </c>
      <c r="AP43">
        <v>1.1059838546232686E-2</v>
      </c>
      <c r="AQ43">
        <v>1.666687864655618E-2</v>
      </c>
      <c r="AR43">
        <v>1.1700246667141307E-2</v>
      </c>
      <c r="AS43">
        <v>-1.0635357180556054E-3</v>
      </c>
      <c r="AT43">
        <f>RESULTADOS_R!$T$44+(RESULTADOS_R!$T$45*AO42)+(RESULTADOS_R!$T$46*AO41)+(RESULTADOS_R!$T$47*AO40)+(RESULTADOS_R!$T$48*AO39)</f>
        <v>1.7660681845418395E-3</v>
      </c>
      <c r="AU43">
        <f t="shared" si="6"/>
        <v>-8.2974911796377566E-3</v>
      </c>
      <c r="AV43" s="3"/>
      <c r="AW43" t="s">
        <v>133</v>
      </c>
      <c r="AX43" t="s">
        <v>253</v>
      </c>
      <c r="AY43">
        <v>-9.9997880718508082E-4</v>
      </c>
      <c r="AZ43">
        <f>RESULTADOS_R!$T$49</f>
        <v>3.5589999999999998E-4</v>
      </c>
      <c r="BA43">
        <f t="shared" si="3"/>
        <v>-1.3558788071850807E-3</v>
      </c>
    </row>
    <row r="44" spans="1:53" x14ac:dyDescent="0.25">
      <c r="A44" t="s">
        <v>133</v>
      </c>
      <c r="B44" t="s">
        <v>254</v>
      </c>
      <c r="C44">
        <v>-8.2513139738967338E-3</v>
      </c>
      <c r="D44">
        <f>RESULTADOS_R!$T$31</f>
        <v>2.8909999999999998E-4</v>
      </c>
      <c r="E44">
        <f t="shared" si="0"/>
        <v>-8.5404139738967343E-3</v>
      </c>
      <c r="F44" s="3"/>
      <c r="G44" t="s">
        <v>133</v>
      </c>
      <c r="H44" t="s">
        <v>254</v>
      </c>
      <c r="I44">
        <v>-1.9800833445189538E-3</v>
      </c>
      <c r="J44">
        <v>5.8197056871573359E-4</v>
      </c>
      <c r="K44">
        <v>-1.1636026446716894E-3</v>
      </c>
      <c r="L44">
        <v>4.6527859394674965E-4</v>
      </c>
      <c r="M44">
        <v>9.3120714446484761E-4</v>
      </c>
      <c r="N44">
        <f>RESULTADOS_R!$T$32+(RESULTADOS_R!$T$33*I43)+(RESULTADOS_R!$T$34*I42)+(RESULTADOS_R!$T$35*I41)+(RESULTADOS_R!$T$36*I40)</f>
        <v>-5.1599760846254112E-4</v>
      </c>
      <c r="O44">
        <f t="shared" si="4"/>
        <v>-1.4640857360564128E-3</v>
      </c>
      <c r="P44" s="3"/>
      <c r="Q44" t="s">
        <v>133</v>
      </c>
      <c r="R44" t="s">
        <v>254</v>
      </c>
      <c r="S44">
        <v>-2.9958181595179757E-2</v>
      </c>
      <c r="T44">
        <f>RESULTADOS_R!$T$37</f>
        <v>-1.944E-3</v>
      </c>
      <c r="U44">
        <f t="shared" si="1"/>
        <v>-2.8014181595179755E-2</v>
      </c>
      <c r="V44" s="3"/>
      <c r="W44" t="s">
        <v>133</v>
      </c>
      <c r="X44" t="s">
        <v>254</v>
      </c>
      <c r="Y44">
        <v>-2.1106743879012149E-2</v>
      </c>
      <c r="Z44">
        <f>RESULTADOS_R!$T$38</f>
        <v>-1.799E-3</v>
      </c>
      <c r="AA44">
        <f t="shared" si="2"/>
        <v>-1.930774387901215E-2</v>
      </c>
      <c r="AB44" s="3"/>
      <c r="AC44" t="s">
        <v>133</v>
      </c>
      <c r="AD44" t="s">
        <v>254</v>
      </c>
      <c r="AE44">
        <v>9.8287964750084587E-3</v>
      </c>
      <c r="AF44">
        <v>3.9499578128100767E-3</v>
      </c>
      <c r="AG44">
        <v>4.1362435686928207E-3</v>
      </c>
      <c r="AH44">
        <v>1.3873291960970017E-2</v>
      </c>
      <c r="AI44">
        <v>1.2456566456347396E-2</v>
      </c>
      <c r="AJ44">
        <f>RESULTADOS_R!$T$39+(RESULTADOS_R!$T$40*AE43)+(RESULTADOS_R!$T$41*AE42)+(RESULTADOS_R!$T$42*AE41)+(RESULTADOS_R!$T$43*AE40)</f>
        <v>2.1560105063423183E-4</v>
      </c>
      <c r="AK44">
        <f t="shared" si="5"/>
        <v>9.6131954243742265E-3</v>
      </c>
      <c r="AL44" s="3"/>
      <c r="AM44" t="s">
        <v>133</v>
      </c>
      <c r="AN44" t="s">
        <v>254</v>
      </c>
      <c r="AO44">
        <v>1.4068783519911284E-2</v>
      </c>
      <c r="AP44">
        <v>-6.5314229950959165E-3</v>
      </c>
      <c r="AQ44">
        <v>1.1059838546232686E-2</v>
      </c>
      <c r="AR44">
        <v>1.666687864655618E-2</v>
      </c>
      <c r="AS44">
        <v>1.1700246667141307E-2</v>
      </c>
      <c r="AT44">
        <f>RESULTADOS_R!$T$44+(RESULTADOS_R!$T$45*AO43)+(RESULTADOS_R!$T$46*AO42)+(RESULTADOS_R!$T$47*AO41)+(RESULTADOS_R!$T$48*AO40)</f>
        <v>-1.723859493991637E-3</v>
      </c>
      <c r="AU44">
        <f t="shared" si="6"/>
        <v>1.5792643013902923E-2</v>
      </c>
      <c r="AV44" s="3"/>
      <c r="AW44" t="s">
        <v>133</v>
      </c>
      <c r="AX44" t="s">
        <v>254</v>
      </c>
      <c r="AY44">
        <v>9.4807521399071799E-3</v>
      </c>
      <c r="AZ44">
        <f>RESULTADOS_R!$T$49</f>
        <v>3.5589999999999998E-4</v>
      </c>
      <c r="BA44">
        <f t="shared" si="3"/>
        <v>9.1248521399071806E-3</v>
      </c>
    </row>
    <row r="45" spans="1:53" x14ac:dyDescent="0.25">
      <c r="A45" t="s">
        <v>133</v>
      </c>
      <c r="B45" t="s">
        <v>255</v>
      </c>
      <c r="C45">
        <v>5.5938039324361026E-4</v>
      </c>
      <c r="D45">
        <f>RESULTADOS_R!$T$31</f>
        <v>2.8909999999999998E-4</v>
      </c>
      <c r="E45">
        <f t="shared" si="0"/>
        <v>2.7028039324361028E-4</v>
      </c>
      <c r="F45" s="3"/>
      <c r="G45" t="s">
        <v>133</v>
      </c>
      <c r="H45" t="s">
        <v>255</v>
      </c>
      <c r="I45">
        <v>-6.9979009153877932E-4</v>
      </c>
      <c r="J45">
        <v>-1.9800833445189538E-3</v>
      </c>
      <c r="K45">
        <v>5.8197056871573359E-4</v>
      </c>
      <c r="L45">
        <v>-1.1636026446716894E-3</v>
      </c>
      <c r="M45">
        <v>4.6527859394674965E-4</v>
      </c>
      <c r="N45">
        <f>RESULTADOS_R!$T$32+(RESULTADOS_R!$T$33*I44)+(RESULTADOS_R!$T$34*I43)+(RESULTADOS_R!$T$35*I42)+(RESULTADOS_R!$T$36*I41)</f>
        <v>-2.4376028886595252E-4</v>
      </c>
      <c r="O45">
        <f t="shared" si="4"/>
        <v>-4.560298026728268E-4</v>
      </c>
      <c r="P45" s="3"/>
      <c r="Q45" t="s">
        <v>133</v>
      </c>
      <c r="R45" t="s">
        <v>255</v>
      </c>
      <c r="S45">
        <v>-6.967164749942784E-4</v>
      </c>
      <c r="T45">
        <f>RESULTADOS_R!$T$37</f>
        <v>-1.944E-3</v>
      </c>
      <c r="U45">
        <f t="shared" si="1"/>
        <v>1.2472835250057217E-3</v>
      </c>
      <c r="V45" s="3"/>
      <c r="W45" t="s">
        <v>133</v>
      </c>
      <c r="X45" t="s">
        <v>255</v>
      </c>
      <c r="Y45">
        <v>2.0116888033400157E-2</v>
      </c>
      <c r="Z45">
        <f>RESULTADOS_R!$T$38</f>
        <v>-1.799E-3</v>
      </c>
      <c r="AA45">
        <f t="shared" si="2"/>
        <v>2.1915888033400156E-2</v>
      </c>
      <c r="AB45" s="3"/>
      <c r="AC45" t="s">
        <v>133</v>
      </c>
      <c r="AD45" t="s">
        <v>255</v>
      </c>
      <c r="AE45">
        <v>6.4401786553580104E-3</v>
      </c>
      <c r="AF45">
        <v>9.8287964750084587E-3</v>
      </c>
      <c r="AG45">
        <v>3.9499578128100767E-3</v>
      </c>
      <c r="AH45">
        <v>4.1362435686928207E-3</v>
      </c>
      <c r="AI45">
        <v>1.3873291960970017E-2</v>
      </c>
      <c r="AJ45">
        <f>RESULTADOS_R!$T$39+(RESULTADOS_R!$T$40*AE44)+(RESULTADOS_R!$T$41*AE43)+(RESULTADOS_R!$T$42*AE42)+(RESULTADOS_R!$T$43*AE41)</f>
        <v>7.3203179973971755E-4</v>
      </c>
      <c r="AK45">
        <f t="shared" si="5"/>
        <v>5.7081468556182931E-3</v>
      </c>
      <c r="AL45" s="3"/>
      <c r="AM45" t="s">
        <v>133</v>
      </c>
      <c r="AN45" t="s">
        <v>255</v>
      </c>
      <c r="AO45">
        <v>2.4292660080019107E-2</v>
      </c>
      <c r="AP45">
        <v>1.4068783519911284E-2</v>
      </c>
      <c r="AQ45">
        <v>-6.5314229950959165E-3</v>
      </c>
      <c r="AR45">
        <v>1.1059838546232686E-2</v>
      </c>
      <c r="AS45">
        <v>1.666687864655618E-2</v>
      </c>
      <c r="AT45">
        <f>RESULTADOS_R!$T$44+(RESULTADOS_R!$T$45*AO44)+(RESULTADOS_R!$T$46*AO43)+(RESULTADOS_R!$T$47*AO42)+(RESULTADOS_R!$T$48*AO41)</f>
        <v>7.8217375078218215E-3</v>
      </c>
      <c r="AU45">
        <f t="shared" si="6"/>
        <v>1.6470922572197285E-2</v>
      </c>
      <c r="AV45" s="3"/>
      <c r="AW45" t="s">
        <v>133</v>
      </c>
      <c r="AX45" t="s">
        <v>255</v>
      </c>
      <c r="AY45">
        <v>3.4521262733499041E-3</v>
      </c>
      <c r="AZ45">
        <f>RESULTADOS_R!$T$49</f>
        <v>3.5589999999999998E-4</v>
      </c>
      <c r="BA45">
        <f t="shared" si="3"/>
        <v>3.096226273349904E-3</v>
      </c>
    </row>
    <row r="46" spans="1:53" x14ac:dyDescent="0.25">
      <c r="A46" t="s">
        <v>133</v>
      </c>
      <c r="B46" t="s">
        <v>256</v>
      </c>
      <c r="C46">
        <v>7.200905507465793E-3</v>
      </c>
      <c r="D46">
        <f>RESULTADOS_R!$T$31</f>
        <v>2.8909999999999998E-4</v>
      </c>
      <c r="E46">
        <f t="shared" si="0"/>
        <v>6.9118055074657934E-3</v>
      </c>
      <c r="F46" s="3"/>
      <c r="G46" t="s">
        <v>133</v>
      </c>
      <c r="H46" t="s">
        <v>256</v>
      </c>
      <c r="I46">
        <v>8.1637417794300519E-4</v>
      </c>
      <c r="J46">
        <v>-6.9979009153877932E-4</v>
      </c>
      <c r="K46">
        <v>-1.9800833445189538E-3</v>
      </c>
      <c r="L46">
        <v>5.8197056871573359E-4</v>
      </c>
      <c r="M46">
        <v>-1.1636026446716894E-3</v>
      </c>
      <c r="N46">
        <f>RESULTADOS_R!$T$32+(RESULTADOS_R!$T$33*I45)+(RESULTADOS_R!$T$34*I44)+(RESULTADOS_R!$T$35*I43)+(RESULTADOS_R!$T$36*I42)</f>
        <v>4.5815256673596694E-4</v>
      </c>
      <c r="O46">
        <f t="shared" si="4"/>
        <v>3.5822161120703825E-4</v>
      </c>
      <c r="P46" s="3"/>
      <c r="Q46" t="s">
        <v>133</v>
      </c>
      <c r="R46" t="s">
        <v>256</v>
      </c>
      <c r="S46">
        <v>-1.2300445859798583E-2</v>
      </c>
      <c r="T46">
        <f>RESULTADOS_R!$T$37</f>
        <v>-1.944E-3</v>
      </c>
      <c r="U46">
        <f t="shared" si="1"/>
        <v>-1.0356445859798584E-2</v>
      </c>
      <c r="V46" s="3"/>
      <c r="W46" t="s">
        <v>133</v>
      </c>
      <c r="X46" t="s">
        <v>256</v>
      </c>
      <c r="Y46">
        <v>-1.346518984096237E-2</v>
      </c>
      <c r="Z46">
        <f>RESULTADOS_R!$T$38</f>
        <v>-1.799E-3</v>
      </c>
      <c r="AA46">
        <f t="shared" si="2"/>
        <v>-1.166618984096237E-2</v>
      </c>
      <c r="AB46" s="3"/>
      <c r="AC46" t="s">
        <v>133</v>
      </c>
      <c r="AD46" t="s">
        <v>256</v>
      </c>
      <c r="AE46">
        <v>1.3528169640665199E-3</v>
      </c>
      <c r="AF46">
        <v>6.4401786553580104E-3</v>
      </c>
      <c r="AG46">
        <v>9.8287964750084587E-3</v>
      </c>
      <c r="AH46">
        <v>3.9499578128100767E-3</v>
      </c>
      <c r="AI46">
        <v>4.1362435686928207E-3</v>
      </c>
      <c r="AJ46">
        <f>RESULTADOS_R!$T$39+(RESULTADOS_R!$T$40*AE45)+(RESULTADOS_R!$T$41*AE44)+(RESULTADOS_R!$T$42*AE43)+(RESULTADOS_R!$T$43*AE42)</f>
        <v>-9.5875335419878696E-4</v>
      </c>
      <c r="AK46">
        <f t="shared" si="5"/>
        <v>2.3115703182653071E-3</v>
      </c>
      <c r="AL46" s="3"/>
      <c r="AM46" t="s">
        <v>133</v>
      </c>
      <c r="AN46" t="s">
        <v>256</v>
      </c>
      <c r="AO46">
        <v>2.2132355716474417E-3</v>
      </c>
      <c r="AP46">
        <v>2.4292660080019107E-2</v>
      </c>
      <c r="AQ46">
        <v>1.4068783519911284E-2</v>
      </c>
      <c r="AR46">
        <v>-6.5314229950959165E-3</v>
      </c>
      <c r="AS46">
        <v>1.1059838546232686E-2</v>
      </c>
      <c r="AT46">
        <f>RESULTADOS_R!$T$44+(RESULTADOS_R!$T$45*AO45)+(RESULTADOS_R!$T$46*AO44)+(RESULTADOS_R!$T$47*AO43)+(RESULTADOS_R!$T$48*AO42)</f>
        <v>1.6218811924265273E-3</v>
      </c>
      <c r="AU46">
        <f t="shared" si="6"/>
        <v>5.9135437922091432E-4</v>
      </c>
      <c r="AV46" s="3"/>
      <c r="AW46" t="s">
        <v>133</v>
      </c>
      <c r="AX46" t="s">
        <v>256</v>
      </c>
      <c r="AY46">
        <v>-5.2546951909542147E-4</v>
      </c>
      <c r="AZ46">
        <f>RESULTADOS_R!$T$49</f>
        <v>3.5589999999999998E-4</v>
      </c>
      <c r="BA46">
        <f t="shared" si="3"/>
        <v>-8.813695190954215E-4</v>
      </c>
    </row>
    <row r="47" spans="1:53" x14ac:dyDescent="0.25">
      <c r="A47" t="s">
        <v>133</v>
      </c>
      <c r="B47" t="s">
        <v>257</v>
      </c>
      <c r="C47">
        <v>-2.1354517014921319E-5</v>
      </c>
      <c r="D47">
        <f>RESULTADOS_R!$T$31</f>
        <v>2.8909999999999998E-4</v>
      </c>
      <c r="E47">
        <f t="shared" si="0"/>
        <v>-3.1045451701492132E-4</v>
      </c>
      <c r="F47" s="3"/>
      <c r="G47" t="s">
        <v>133</v>
      </c>
      <c r="H47" t="s">
        <v>257</v>
      </c>
      <c r="I47">
        <v>-1.1658408640427917E-4</v>
      </c>
      <c r="J47">
        <v>8.1637417794300519E-4</v>
      </c>
      <c r="K47">
        <v>-6.9979009153877932E-4</v>
      </c>
      <c r="L47">
        <v>-1.9800833445189538E-3</v>
      </c>
      <c r="M47">
        <v>5.8197056871573359E-4</v>
      </c>
      <c r="N47">
        <f>RESULTADOS_R!$T$32+(RESULTADOS_R!$T$33*I46)+(RESULTADOS_R!$T$34*I45)+(RESULTADOS_R!$T$35*I44)+(RESULTADOS_R!$T$36*I43)</f>
        <v>-2.9619545617639198E-4</v>
      </c>
      <c r="O47">
        <f t="shared" si="4"/>
        <v>1.7961136977211282E-4</v>
      </c>
      <c r="P47" s="3"/>
      <c r="Q47" t="s">
        <v>133</v>
      </c>
      <c r="R47" t="s">
        <v>257</v>
      </c>
      <c r="S47">
        <v>-9.3658575247830087E-3</v>
      </c>
      <c r="T47">
        <f>RESULTADOS_R!$T$37</f>
        <v>-1.944E-3</v>
      </c>
      <c r="U47">
        <f t="shared" si="1"/>
        <v>-7.4218575247830092E-3</v>
      </c>
      <c r="V47" s="3"/>
      <c r="W47" t="s">
        <v>133</v>
      </c>
      <c r="X47" t="s">
        <v>257</v>
      </c>
      <c r="Y47">
        <v>-2.3766142174147409E-2</v>
      </c>
      <c r="Z47">
        <f>RESULTADOS_R!$T$38</f>
        <v>-1.799E-3</v>
      </c>
      <c r="AA47">
        <f t="shared" si="2"/>
        <v>-2.196714217414741E-2</v>
      </c>
      <c r="AB47" s="3"/>
      <c r="AC47" t="s">
        <v>133</v>
      </c>
      <c r="AD47" t="s">
        <v>257</v>
      </c>
      <c r="AE47">
        <v>-8.4798072973438297E-4</v>
      </c>
      <c r="AF47">
        <v>1.3528169640665199E-3</v>
      </c>
      <c r="AG47">
        <v>6.4401786553580104E-3</v>
      </c>
      <c r="AH47">
        <v>9.8287964750084587E-3</v>
      </c>
      <c r="AI47">
        <v>3.9499578128100767E-3</v>
      </c>
      <c r="AJ47">
        <f>RESULTADOS_R!$T$39+(RESULTADOS_R!$T$40*AE46)+(RESULTADOS_R!$T$41*AE45)+(RESULTADOS_R!$T$42*AE44)+(RESULTADOS_R!$T$43*AE43)</f>
        <v>-6.9650326722392182E-4</v>
      </c>
      <c r="AK47">
        <f t="shared" si="5"/>
        <v>-1.5147746251046115E-4</v>
      </c>
      <c r="AL47" s="3"/>
      <c r="AM47" t="s">
        <v>133</v>
      </c>
      <c r="AN47" t="s">
        <v>257</v>
      </c>
      <c r="AO47">
        <v>-9.7926614868465694E-3</v>
      </c>
      <c r="AP47">
        <v>2.2132355716474417E-3</v>
      </c>
      <c r="AQ47">
        <v>2.4292660080019107E-2</v>
      </c>
      <c r="AR47">
        <v>1.4068783519911284E-2</v>
      </c>
      <c r="AS47">
        <v>-6.5314229950959165E-3</v>
      </c>
      <c r="AT47">
        <f>RESULTADOS_R!$T$44+(RESULTADOS_R!$T$45*AO46)+(RESULTADOS_R!$T$46*AO45)+(RESULTADOS_R!$T$47*AO44)+(RESULTADOS_R!$T$48*AO43)</f>
        <v>-2.1816328089363729E-3</v>
      </c>
      <c r="AU47">
        <f t="shared" si="6"/>
        <v>-7.6110286779101964E-3</v>
      </c>
      <c r="AV47" s="3"/>
      <c r="AW47" t="s">
        <v>133</v>
      </c>
      <c r="AX47" t="s">
        <v>257</v>
      </c>
      <c r="AY47">
        <v>2.928597889184782E-3</v>
      </c>
      <c r="AZ47">
        <f>RESULTADOS_R!$T$49</f>
        <v>3.5589999999999998E-4</v>
      </c>
      <c r="BA47">
        <f t="shared" si="3"/>
        <v>2.5726978891847819E-3</v>
      </c>
    </row>
    <row r="48" spans="1:53" x14ac:dyDescent="0.25">
      <c r="A48" t="s">
        <v>133</v>
      </c>
      <c r="B48" t="s">
        <v>258</v>
      </c>
      <c r="C48">
        <v>3.8577581225869607E-3</v>
      </c>
      <c r="D48">
        <f>RESULTADOS_R!$T$31</f>
        <v>2.8909999999999998E-4</v>
      </c>
      <c r="E48">
        <f t="shared" si="0"/>
        <v>3.5686581225869607E-3</v>
      </c>
      <c r="F48" s="3"/>
      <c r="G48" t="s">
        <v>133</v>
      </c>
      <c r="H48" t="s">
        <v>258</v>
      </c>
      <c r="I48">
        <v>0</v>
      </c>
      <c r="J48">
        <v>-1.1658408640427917E-4</v>
      </c>
      <c r="K48">
        <v>8.1637417794300519E-4</v>
      </c>
      <c r="L48">
        <v>-6.9979009153877932E-4</v>
      </c>
      <c r="M48">
        <v>-1.9800833445189538E-3</v>
      </c>
      <c r="N48">
        <f>RESULTADOS_R!$T$32+(RESULTADOS_R!$T$33*I47)+(RESULTADOS_R!$T$34*I46)+(RESULTADOS_R!$T$35*I45)+(RESULTADOS_R!$T$36*I44)</f>
        <v>3.9864907423784661E-4</v>
      </c>
      <c r="O48">
        <f t="shared" si="4"/>
        <v>-3.9864907423784661E-4</v>
      </c>
      <c r="P48" s="3"/>
      <c r="Q48" t="s">
        <v>133</v>
      </c>
      <c r="R48" t="s">
        <v>258</v>
      </c>
      <c r="S48">
        <v>-5.4922445250969579E-2</v>
      </c>
      <c r="T48">
        <f>RESULTADOS_R!$T$37</f>
        <v>-1.944E-3</v>
      </c>
      <c r="U48">
        <f t="shared" si="1"/>
        <v>-5.2978445250969577E-2</v>
      </c>
      <c r="V48" s="3"/>
      <c r="W48" t="s">
        <v>133</v>
      </c>
      <c r="X48" t="s">
        <v>258</v>
      </c>
      <c r="Y48">
        <v>-7.7801621572090751E-2</v>
      </c>
      <c r="Z48">
        <f>RESULTADOS_R!$T$38</f>
        <v>-1.799E-3</v>
      </c>
      <c r="AA48">
        <f t="shared" si="2"/>
        <v>-7.6002621572090756E-2</v>
      </c>
      <c r="AB48" s="3"/>
      <c r="AC48" t="s">
        <v>133</v>
      </c>
      <c r="AD48" t="s">
        <v>258</v>
      </c>
      <c r="AE48">
        <v>-6.76120527268592E-3</v>
      </c>
      <c r="AF48">
        <v>-8.4798072973438297E-4</v>
      </c>
      <c r="AG48">
        <v>1.3528169640665199E-3</v>
      </c>
      <c r="AH48">
        <v>6.4401786553580104E-3</v>
      </c>
      <c r="AI48">
        <v>9.8287964750084587E-3</v>
      </c>
      <c r="AJ48">
        <f>RESULTADOS_R!$T$39+(RESULTADOS_R!$T$40*AE47)+(RESULTADOS_R!$T$41*AE46)+(RESULTADOS_R!$T$42*AE45)+(RESULTADOS_R!$T$43*AE44)</f>
        <v>2.7174209136716909E-4</v>
      </c>
      <c r="AK48">
        <f t="shared" si="5"/>
        <v>-7.0329473640530892E-3</v>
      </c>
      <c r="AL48" s="3"/>
      <c r="AM48" t="s">
        <v>133</v>
      </c>
      <c r="AN48" t="s">
        <v>258</v>
      </c>
      <c r="AO48">
        <v>-9.5588136932367503E-3</v>
      </c>
      <c r="AP48">
        <v>-9.7926614868465694E-3</v>
      </c>
      <c r="AQ48">
        <v>2.2132355716474417E-3</v>
      </c>
      <c r="AR48">
        <v>2.4292660080019107E-2</v>
      </c>
      <c r="AS48">
        <v>1.4068783519911284E-2</v>
      </c>
      <c r="AT48">
        <f>RESULTADOS_R!$T$44+(RESULTADOS_R!$T$45*AO47)+(RESULTADOS_R!$T$46*AO46)+(RESULTADOS_R!$T$47*AO45)+(RESULTADOS_R!$T$48*AO44)</f>
        <v>1.3094064366905749E-3</v>
      </c>
      <c r="AU48">
        <f t="shared" si="6"/>
        <v>-1.0868220129927325E-2</v>
      </c>
      <c r="AV48" s="3"/>
      <c r="AW48" t="s">
        <v>133</v>
      </c>
      <c r="AX48" t="s">
        <v>258</v>
      </c>
      <c r="AY48">
        <v>5.3104315638387405E-3</v>
      </c>
      <c r="AZ48">
        <f>RESULTADOS_R!$T$49</f>
        <v>3.5589999999999998E-4</v>
      </c>
      <c r="BA48">
        <f t="shared" si="3"/>
        <v>4.9545315638387403E-3</v>
      </c>
    </row>
    <row r="49" spans="1:53" x14ac:dyDescent="0.25">
      <c r="A49" t="s">
        <v>133</v>
      </c>
      <c r="B49" t="s">
        <v>259</v>
      </c>
      <c r="C49">
        <v>-2.598621211846805E-3</v>
      </c>
      <c r="D49">
        <f>RESULTADOS_R!$T$31</f>
        <v>2.8909999999999998E-4</v>
      </c>
      <c r="E49">
        <f t="shared" si="0"/>
        <v>-2.8877212118468051E-3</v>
      </c>
      <c r="F49" s="3"/>
      <c r="G49" t="s">
        <v>133</v>
      </c>
      <c r="H49" t="s">
        <v>259</v>
      </c>
      <c r="I49">
        <v>3.4971149158654919E-4</v>
      </c>
      <c r="J49">
        <v>0</v>
      </c>
      <c r="K49">
        <v>-1.1658408640427917E-4</v>
      </c>
      <c r="L49">
        <v>8.1637417794300519E-4</v>
      </c>
      <c r="M49">
        <v>-6.9979009153877932E-4</v>
      </c>
      <c r="N49">
        <f>RESULTADOS_R!$T$32+(RESULTADOS_R!$T$33*I48)+(RESULTADOS_R!$T$34*I47)+(RESULTADOS_R!$T$35*I46)+(RESULTADOS_R!$T$36*I45)</f>
        <v>-5.1942973410881439E-5</v>
      </c>
      <c r="O49">
        <f t="shared" si="4"/>
        <v>4.0165446499743063E-4</v>
      </c>
      <c r="P49" s="3"/>
      <c r="Q49" t="s">
        <v>133</v>
      </c>
      <c r="R49" t="s">
        <v>259</v>
      </c>
      <c r="S49">
        <v>3.4309508643881417E-3</v>
      </c>
      <c r="T49">
        <f>RESULTADOS_R!$T$37</f>
        <v>-1.944E-3</v>
      </c>
      <c r="U49">
        <f t="shared" si="1"/>
        <v>5.3749508643881417E-3</v>
      </c>
      <c r="V49" s="3"/>
      <c r="W49" t="s">
        <v>133</v>
      </c>
      <c r="X49" t="s">
        <v>259</v>
      </c>
      <c r="Y49">
        <v>1.6752283711094499E-2</v>
      </c>
      <c r="Z49">
        <f>RESULTADOS_R!$T$38</f>
        <v>-1.799E-3</v>
      </c>
      <c r="AA49">
        <f t="shared" si="2"/>
        <v>1.8551283711094498E-2</v>
      </c>
      <c r="AB49" s="3"/>
      <c r="AC49" t="s">
        <v>133</v>
      </c>
      <c r="AD49" t="s">
        <v>259</v>
      </c>
      <c r="AE49">
        <v>9.1744503262903478E-3</v>
      </c>
      <c r="AF49">
        <v>-6.76120527268592E-3</v>
      </c>
      <c r="AG49">
        <v>-8.4798072973438297E-4</v>
      </c>
      <c r="AH49">
        <v>1.3528169640665199E-3</v>
      </c>
      <c r="AI49">
        <v>6.4401786553580104E-3</v>
      </c>
      <c r="AJ49">
        <f>RESULTADOS_R!$T$39+(RESULTADOS_R!$T$40*AE48)+(RESULTADOS_R!$T$41*AE47)+(RESULTADOS_R!$T$42*AE46)+(RESULTADOS_R!$T$43*AE45)</f>
        <v>1.1130866964833648E-4</v>
      </c>
      <c r="AK49">
        <f t="shared" si="5"/>
        <v>9.0631416566420119E-3</v>
      </c>
      <c r="AL49" s="3"/>
      <c r="AM49" t="s">
        <v>133</v>
      </c>
      <c r="AN49" t="s">
        <v>259</v>
      </c>
      <c r="AO49">
        <v>1.0010013272850955E-2</v>
      </c>
      <c r="AP49">
        <v>-9.5588136932367503E-3</v>
      </c>
      <c r="AQ49">
        <v>-9.7926614868465694E-3</v>
      </c>
      <c r="AR49">
        <v>2.2132355716474417E-3</v>
      </c>
      <c r="AS49">
        <v>2.4292660080019107E-2</v>
      </c>
      <c r="AT49">
        <f>RESULTADOS_R!$T$44+(RESULTADOS_R!$T$45*AO48)+(RESULTADOS_R!$T$46*AO47)+(RESULTADOS_R!$T$47*AO46)+(RESULTADOS_R!$T$48*AO45)</f>
        <v>-1.1657464211645638E-3</v>
      </c>
      <c r="AU49">
        <f t="shared" si="6"/>
        <v>1.1175759694015519E-2</v>
      </c>
      <c r="AV49" s="3"/>
      <c r="AW49" t="s">
        <v>133</v>
      </c>
      <c r="AX49" t="s">
        <v>259</v>
      </c>
      <c r="AY49">
        <v>-9.0746474155845719E-4</v>
      </c>
      <c r="AZ49">
        <f>RESULTADOS_R!$T$49</f>
        <v>3.5589999999999998E-4</v>
      </c>
      <c r="BA49">
        <f t="shared" si="3"/>
        <v>-1.2633647415584571E-3</v>
      </c>
    </row>
    <row r="50" spans="1:53" x14ac:dyDescent="0.25">
      <c r="A50" t="s">
        <v>133</v>
      </c>
      <c r="B50" t="s">
        <v>260</v>
      </c>
      <c r="C50">
        <v>3.3641389305627744E-3</v>
      </c>
      <c r="D50">
        <f>RESULTADOS_R!$T$31</f>
        <v>2.8909999999999998E-4</v>
      </c>
      <c r="E50">
        <f t="shared" si="0"/>
        <v>3.0750389305627744E-3</v>
      </c>
      <c r="F50" s="3"/>
      <c r="G50" t="s">
        <v>133</v>
      </c>
      <c r="H50" t="s">
        <v>260</v>
      </c>
      <c r="I50">
        <v>-1.1655690904260116E-4</v>
      </c>
      <c r="J50">
        <v>3.4971149158654919E-4</v>
      </c>
      <c r="K50">
        <v>0</v>
      </c>
      <c r="L50">
        <v>-1.1658408640427917E-4</v>
      </c>
      <c r="M50">
        <v>8.1637417794300519E-4</v>
      </c>
      <c r="N50">
        <f>RESULTADOS_R!$T$32+(RESULTADOS_R!$T$33*I49)+(RESULTADOS_R!$T$34*I48)+(RESULTADOS_R!$T$35*I47)+(RESULTADOS_R!$T$36*I46)</f>
        <v>-5.7509463896707473E-4</v>
      </c>
      <c r="O50">
        <f t="shared" si="4"/>
        <v>4.5853772992447358E-4</v>
      </c>
      <c r="P50" s="3"/>
      <c r="Q50" t="s">
        <v>133</v>
      </c>
      <c r="R50" t="s">
        <v>260</v>
      </c>
      <c r="S50">
        <v>-5.8423760363338621E-2</v>
      </c>
      <c r="T50">
        <f>RESULTADOS_R!$T$37</f>
        <v>-1.944E-3</v>
      </c>
      <c r="U50">
        <f t="shared" si="1"/>
        <v>-5.647976036333862E-2</v>
      </c>
      <c r="V50" s="3"/>
      <c r="W50" t="s">
        <v>133</v>
      </c>
      <c r="X50" t="s">
        <v>260</v>
      </c>
      <c r="Y50">
        <v>-6.9268657236965903E-2</v>
      </c>
      <c r="Z50">
        <f>RESULTADOS_R!$T$38</f>
        <v>-1.799E-3</v>
      </c>
      <c r="AA50">
        <f t="shared" si="2"/>
        <v>-6.7469657236965908E-2</v>
      </c>
      <c r="AB50" s="3"/>
      <c r="AC50" t="s">
        <v>133</v>
      </c>
      <c r="AD50" t="s">
        <v>260</v>
      </c>
      <c r="AE50">
        <v>-4.563251794325999E-3</v>
      </c>
      <c r="AF50">
        <v>9.1744503262903478E-3</v>
      </c>
      <c r="AG50">
        <v>-6.76120527268592E-3</v>
      </c>
      <c r="AH50">
        <v>-8.4798072973438297E-4</v>
      </c>
      <c r="AI50">
        <v>1.3528169640665199E-3</v>
      </c>
      <c r="AJ50">
        <f>RESULTADOS_R!$T$39+(RESULTADOS_R!$T$40*AE49)+(RESULTADOS_R!$T$41*AE48)+(RESULTADOS_R!$T$42*AE47)+(RESULTADOS_R!$T$43*AE46)</f>
        <v>2.3749742115074589E-3</v>
      </c>
      <c r="AK50">
        <f t="shared" si="5"/>
        <v>-6.9382260058334574E-3</v>
      </c>
      <c r="AL50" s="3"/>
      <c r="AM50" t="s">
        <v>133</v>
      </c>
      <c r="AN50" t="s">
        <v>260</v>
      </c>
      <c r="AO50">
        <v>-1.0836951329877368E-2</v>
      </c>
      <c r="AP50">
        <v>1.0010013272850955E-2</v>
      </c>
      <c r="AQ50">
        <v>-9.5588136932367503E-3</v>
      </c>
      <c r="AR50">
        <v>-9.7926614868465694E-3</v>
      </c>
      <c r="AS50">
        <v>2.2132355716474417E-3</v>
      </c>
      <c r="AT50">
        <f>RESULTADOS_R!$T$44+(RESULTADOS_R!$T$45*AO49)+(RESULTADOS_R!$T$46*AO48)+(RESULTADOS_R!$T$47*AO47)+(RESULTADOS_R!$T$48*AO46)</f>
        <v>3.2215835347845678E-3</v>
      </c>
      <c r="AU50">
        <f t="shared" si="6"/>
        <v>-1.4058534864661935E-2</v>
      </c>
      <c r="AV50" s="3"/>
      <c r="AW50" t="s">
        <v>133</v>
      </c>
      <c r="AX50" t="s">
        <v>260</v>
      </c>
      <c r="AY50">
        <v>-2.9680434806169877E-3</v>
      </c>
      <c r="AZ50">
        <f>RESULTADOS_R!$T$49</f>
        <v>3.5589999999999998E-4</v>
      </c>
      <c r="BA50">
        <f t="shared" si="3"/>
        <v>-3.3239434806169878E-3</v>
      </c>
    </row>
    <row r="51" spans="1:53" x14ac:dyDescent="0.25">
      <c r="A51" t="s">
        <v>133</v>
      </c>
      <c r="B51" t="s">
        <v>261</v>
      </c>
      <c r="C51">
        <v>-1.3826112279622025E-3</v>
      </c>
      <c r="D51">
        <f>RESULTADOS_R!$T$31</f>
        <v>2.8909999999999998E-4</v>
      </c>
      <c r="E51">
        <f t="shared" si="0"/>
        <v>-1.6717112279622025E-3</v>
      </c>
      <c r="F51" s="3"/>
      <c r="G51" t="s">
        <v>133</v>
      </c>
      <c r="H51" t="s">
        <v>261</v>
      </c>
      <c r="I51">
        <v>-2.3315458254389172E-4</v>
      </c>
      <c r="J51">
        <v>-1.1655690904260116E-4</v>
      </c>
      <c r="K51">
        <v>3.4971149158654919E-4</v>
      </c>
      <c r="L51">
        <v>0</v>
      </c>
      <c r="M51">
        <v>-1.1658408640427917E-4</v>
      </c>
      <c r="N51">
        <f>RESULTADOS_R!$T$32+(RESULTADOS_R!$T$33*I50)+(RESULTADOS_R!$T$34*I49)+(RESULTADOS_R!$T$35*I48)+(RESULTADOS_R!$T$36*I47)</f>
        <v>-2.5619517614663062E-4</v>
      </c>
      <c r="O51">
        <f t="shared" si="4"/>
        <v>2.3040593602738899E-5</v>
      </c>
      <c r="P51" s="3"/>
      <c r="Q51" t="s">
        <v>133</v>
      </c>
      <c r="R51" t="s">
        <v>261</v>
      </c>
      <c r="S51">
        <v>2.0466948154536875E-2</v>
      </c>
      <c r="T51">
        <f>RESULTADOS_R!$T$37</f>
        <v>-1.944E-3</v>
      </c>
      <c r="U51">
        <f t="shared" si="1"/>
        <v>2.2410948154536876E-2</v>
      </c>
      <c r="V51" s="3"/>
      <c r="W51" t="s">
        <v>133</v>
      </c>
      <c r="X51" t="s">
        <v>261</v>
      </c>
      <c r="Y51">
        <v>7.1764071560903531E-2</v>
      </c>
      <c r="Z51">
        <f>RESULTADOS_R!$T$38</f>
        <v>-1.799E-3</v>
      </c>
      <c r="AA51">
        <f t="shared" si="2"/>
        <v>7.3563071560903526E-2</v>
      </c>
      <c r="AB51" s="3"/>
      <c r="AC51" t="s">
        <v>133</v>
      </c>
      <c r="AD51" t="s">
        <v>261</v>
      </c>
      <c r="AE51">
        <v>-7.4857359706839337E-3</v>
      </c>
      <c r="AF51">
        <v>-4.563251794325999E-3</v>
      </c>
      <c r="AG51">
        <v>9.1744503262903478E-3</v>
      </c>
      <c r="AH51">
        <v>-6.76120527268592E-3</v>
      </c>
      <c r="AI51">
        <v>-8.4798072973438297E-4</v>
      </c>
      <c r="AJ51">
        <f>RESULTADOS_R!$T$39+(RESULTADOS_R!$T$40*AE50)+(RESULTADOS_R!$T$41*AE49)+(RESULTADOS_R!$T$42*AE48)+(RESULTADOS_R!$T$43*AE47)</f>
        <v>-1.8888787427733299E-3</v>
      </c>
      <c r="AK51">
        <f t="shared" si="5"/>
        <v>-5.5968572279106038E-3</v>
      </c>
      <c r="AL51" s="3"/>
      <c r="AM51" t="s">
        <v>133</v>
      </c>
      <c r="AN51" t="s">
        <v>261</v>
      </c>
      <c r="AO51">
        <v>-7.770223140184925E-3</v>
      </c>
      <c r="AP51">
        <v>-1.0836951329877368E-2</v>
      </c>
      <c r="AQ51">
        <v>1.0010013272850955E-2</v>
      </c>
      <c r="AR51">
        <v>-9.5588136932367503E-3</v>
      </c>
      <c r="AS51">
        <v>-9.7926614868465694E-3</v>
      </c>
      <c r="AT51">
        <f>RESULTADOS_R!$T$44+(RESULTADOS_R!$T$45*AO50)+(RESULTADOS_R!$T$46*AO49)+(RESULTADOS_R!$T$47*AO48)+(RESULTADOS_R!$T$48*AO47)</f>
        <v>-7.8216953301482196E-3</v>
      </c>
      <c r="AU51">
        <f t="shared" si="6"/>
        <v>5.147218996329455E-5</v>
      </c>
      <c r="AV51" s="3"/>
      <c r="AW51" t="s">
        <v>133</v>
      </c>
      <c r="AX51" t="s">
        <v>261</v>
      </c>
      <c r="AY51">
        <v>5.0841816420117434E-3</v>
      </c>
      <c r="AZ51">
        <f>RESULTADOS_R!$T$49</f>
        <v>3.5589999999999998E-4</v>
      </c>
      <c r="BA51">
        <f t="shared" si="3"/>
        <v>4.7282816420117432E-3</v>
      </c>
    </row>
    <row r="52" spans="1:53" x14ac:dyDescent="0.25">
      <c r="A52" t="s">
        <v>133</v>
      </c>
      <c r="B52" t="s">
        <v>262</v>
      </c>
      <c r="C52">
        <v>-3.2193100963258071E-3</v>
      </c>
      <c r="D52">
        <f>RESULTADOS_R!$T$31</f>
        <v>2.8909999999999998E-4</v>
      </c>
      <c r="E52">
        <f t="shared" si="0"/>
        <v>-3.5084100963258071E-3</v>
      </c>
      <c r="F52" s="3"/>
      <c r="G52" t="s">
        <v>133</v>
      </c>
      <c r="H52" t="s">
        <v>262</v>
      </c>
      <c r="I52">
        <v>-1.1665890263774343E-3</v>
      </c>
      <c r="J52">
        <v>-2.3315458254389172E-4</v>
      </c>
      <c r="K52">
        <v>-1.1655690904260116E-4</v>
      </c>
      <c r="L52">
        <v>3.4971149158654919E-4</v>
      </c>
      <c r="M52">
        <v>0</v>
      </c>
      <c r="N52">
        <f>RESULTADOS_R!$T$32+(RESULTADOS_R!$T$33*I51)+(RESULTADOS_R!$T$34*I50)+(RESULTADOS_R!$T$35*I49)+(RESULTADOS_R!$T$36*I48)</f>
        <v>-2.4758070830482079E-4</v>
      </c>
      <c r="O52">
        <f t="shared" si="4"/>
        <v>-9.1900831807261352E-4</v>
      </c>
      <c r="P52" s="3"/>
      <c r="Q52" t="s">
        <v>133</v>
      </c>
      <c r="R52" t="s">
        <v>262</v>
      </c>
      <c r="S52">
        <v>-3.1998308179367448E-2</v>
      </c>
      <c r="T52">
        <f>RESULTADOS_R!$T$37</f>
        <v>-1.944E-3</v>
      </c>
      <c r="U52">
        <f t="shared" si="1"/>
        <v>-3.0054308179367446E-2</v>
      </c>
      <c r="V52" s="3"/>
      <c r="W52" t="s">
        <v>133</v>
      </c>
      <c r="X52" t="s">
        <v>262</v>
      </c>
      <c r="Y52">
        <v>-5.0053298746334074E-2</v>
      </c>
      <c r="Z52">
        <f>RESULTADOS_R!$T$38</f>
        <v>-1.799E-3</v>
      </c>
      <c r="AA52">
        <f t="shared" si="2"/>
        <v>-4.8254298746334072E-2</v>
      </c>
      <c r="AB52" s="3"/>
      <c r="AC52" t="s">
        <v>133</v>
      </c>
      <c r="AD52" t="s">
        <v>262</v>
      </c>
      <c r="AE52">
        <v>-2.1679699615361096E-2</v>
      </c>
      <c r="AF52">
        <v>-7.4857359706839337E-3</v>
      </c>
      <c r="AG52">
        <v>-4.563251794325999E-3</v>
      </c>
      <c r="AH52">
        <v>9.1744503262903478E-3</v>
      </c>
      <c r="AI52">
        <v>-6.76120527268592E-3</v>
      </c>
      <c r="AJ52">
        <f>RESULTADOS_R!$T$39+(RESULTADOS_R!$T$40*AE51)+(RESULTADOS_R!$T$41*AE50)+(RESULTADOS_R!$T$42*AE49)+(RESULTADOS_R!$T$43*AE48)</f>
        <v>4.1490272469617263E-4</v>
      </c>
      <c r="AK52">
        <f t="shared" si="5"/>
        <v>-2.2094602340057268E-2</v>
      </c>
      <c r="AL52" s="3"/>
      <c r="AM52" t="s">
        <v>133</v>
      </c>
      <c r="AN52" t="s">
        <v>262</v>
      </c>
      <c r="AO52">
        <v>-1.730341441193111E-2</v>
      </c>
      <c r="AP52">
        <v>-7.770223140184925E-3</v>
      </c>
      <c r="AQ52">
        <v>-1.0836951329877368E-2</v>
      </c>
      <c r="AR52">
        <v>1.0010013272850955E-2</v>
      </c>
      <c r="AS52">
        <v>-9.5588136932367503E-3</v>
      </c>
      <c r="AT52">
        <f>RESULTADOS_R!$T$44+(RESULTADOS_R!$T$45*AO51)+(RESULTADOS_R!$T$46*AO50)+(RESULTADOS_R!$T$47*AO49)+(RESULTADOS_R!$T$48*AO48)</f>
        <v>3.3420252295660148E-3</v>
      </c>
      <c r="AU52">
        <f t="shared" si="6"/>
        <v>-2.0645439641497124E-2</v>
      </c>
      <c r="AV52" s="3"/>
      <c r="AW52" t="s">
        <v>133</v>
      </c>
      <c r="AX52" t="s">
        <v>262</v>
      </c>
      <c r="AY52">
        <v>5.3692379962157278E-3</v>
      </c>
      <c r="AZ52">
        <f>RESULTADOS_R!$T$49</f>
        <v>3.5589999999999998E-4</v>
      </c>
      <c r="BA52">
        <f t="shared" si="3"/>
        <v>5.0133379962157276E-3</v>
      </c>
    </row>
    <row r="53" spans="1:53" x14ac:dyDescent="0.25">
      <c r="A53" t="s">
        <v>133</v>
      </c>
      <c r="B53" t="s">
        <v>263</v>
      </c>
      <c r="C53">
        <v>1.6642489119060174E-3</v>
      </c>
      <c r="D53">
        <f>RESULTADOS_R!$T$31</f>
        <v>2.8909999999999998E-4</v>
      </c>
      <c r="E53">
        <f t="shared" si="0"/>
        <v>1.3751489119060174E-3</v>
      </c>
      <c r="F53" s="3"/>
      <c r="G53" t="s">
        <v>133</v>
      </c>
      <c r="H53" t="s">
        <v>263</v>
      </c>
      <c r="I53">
        <v>0</v>
      </c>
      <c r="J53">
        <v>-1.1665890263774343E-3</v>
      </c>
      <c r="K53">
        <v>-2.3315458254389172E-4</v>
      </c>
      <c r="L53">
        <v>-1.1655690904260116E-4</v>
      </c>
      <c r="M53">
        <v>3.4971149158654919E-4</v>
      </c>
      <c r="N53">
        <f>RESULTADOS_R!$T$32+(RESULTADOS_R!$T$33*I52)+(RESULTADOS_R!$T$34*I51)+(RESULTADOS_R!$T$35*I50)+(RESULTADOS_R!$T$36*I49)</f>
        <v>-2.3799959649365178E-4</v>
      </c>
      <c r="O53">
        <f t="shared" si="4"/>
        <v>2.3799959649365178E-4</v>
      </c>
      <c r="P53" s="3"/>
      <c r="Q53" t="s">
        <v>133</v>
      </c>
      <c r="R53" t="s">
        <v>263</v>
      </c>
      <c r="S53">
        <v>2.2481290424472854E-2</v>
      </c>
      <c r="T53">
        <f>RESULTADOS_R!$T$37</f>
        <v>-1.944E-3</v>
      </c>
      <c r="U53">
        <f t="shared" si="1"/>
        <v>2.4425290424472855E-2</v>
      </c>
      <c r="V53" s="3"/>
      <c r="W53" t="s">
        <v>133</v>
      </c>
      <c r="X53" t="s">
        <v>263</v>
      </c>
      <c r="Y53">
        <v>5.9882469719926106E-2</v>
      </c>
      <c r="Z53">
        <f>RESULTADOS_R!$T$38</f>
        <v>-1.799E-3</v>
      </c>
      <c r="AA53">
        <f t="shared" si="2"/>
        <v>6.1681469719926107E-2</v>
      </c>
      <c r="AB53" s="3"/>
      <c r="AC53" t="s">
        <v>133</v>
      </c>
      <c r="AD53" t="s">
        <v>263</v>
      </c>
      <c r="AE53">
        <v>-8.5179817174770214E-3</v>
      </c>
      <c r="AF53">
        <v>-2.1679699615361096E-2</v>
      </c>
      <c r="AG53">
        <v>-7.4857359706839337E-3</v>
      </c>
      <c r="AH53">
        <v>-4.563251794325999E-3</v>
      </c>
      <c r="AI53">
        <v>9.1744503262903478E-3</v>
      </c>
      <c r="AJ53">
        <f>RESULTADOS_R!$T$39+(RESULTADOS_R!$T$40*AE52)+(RESULTADOS_R!$T$41*AE51)+(RESULTADOS_R!$T$42*AE50)+(RESULTADOS_R!$T$43*AE49)</f>
        <v>2.6459098610898406E-4</v>
      </c>
      <c r="AK53">
        <f t="shared" si="5"/>
        <v>-8.7825727035860061E-3</v>
      </c>
      <c r="AL53" s="3"/>
      <c r="AM53" t="s">
        <v>133</v>
      </c>
      <c r="AN53" t="s">
        <v>263</v>
      </c>
      <c r="AO53">
        <v>-2.1519788671499264E-2</v>
      </c>
      <c r="AP53">
        <v>-1.730341441193111E-2</v>
      </c>
      <c r="AQ53">
        <v>-7.770223140184925E-3</v>
      </c>
      <c r="AR53">
        <v>-1.0836951329877368E-2</v>
      </c>
      <c r="AS53">
        <v>1.0010013272850955E-2</v>
      </c>
      <c r="AT53">
        <f>RESULTADOS_R!$T$44+(RESULTADOS_R!$T$45*AO52)+(RESULTADOS_R!$T$46*AO51)+(RESULTADOS_R!$T$47*AO50)+(RESULTADOS_R!$T$48*AO49)</f>
        <v>-6.434622183846099E-3</v>
      </c>
      <c r="AU53">
        <f t="shared" si="6"/>
        <v>-1.5085166487653165E-2</v>
      </c>
      <c r="AV53" s="3"/>
      <c r="AW53" t="s">
        <v>133</v>
      </c>
      <c r="AX53" t="s">
        <v>263</v>
      </c>
      <c r="AY53">
        <v>-5.9055425749802624E-4</v>
      </c>
      <c r="AZ53">
        <f>RESULTADOS_R!$T$49</f>
        <v>3.5589999999999998E-4</v>
      </c>
      <c r="BA53">
        <f t="shared" si="3"/>
        <v>-9.4645425749802616E-4</v>
      </c>
    </row>
    <row r="54" spans="1:53" x14ac:dyDescent="0.25">
      <c r="A54" t="s">
        <v>133</v>
      </c>
      <c r="B54" t="s">
        <v>264</v>
      </c>
      <c r="C54">
        <v>2.2997816826933258E-3</v>
      </c>
      <c r="D54">
        <f>RESULTADOS_R!$T$31</f>
        <v>2.8909999999999998E-4</v>
      </c>
      <c r="E54">
        <f t="shared" si="0"/>
        <v>2.0106816826933258E-3</v>
      </c>
      <c r="F54" s="3"/>
      <c r="G54" t="s">
        <v>133</v>
      </c>
      <c r="H54" t="s">
        <v>264</v>
      </c>
      <c r="I54">
        <v>-2.3348120582365519E-4</v>
      </c>
      <c r="J54">
        <v>0</v>
      </c>
      <c r="K54">
        <v>-1.1665890263774343E-3</v>
      </c>
      <c r="L54">
        <v>-2.3315458254389172E-4</v>
      </c>
      <c r="M54">
        <v>-1.1655690904260116E-4</v>
      </c>
      <c r="N54">
        <f>RESULTADOS_R!$T$32+(RESULTADOS_R!$T$33*I53)+(RESULTADOS_R!$T$34*I52)+(RESULTADOS_R!$T$35*I51)+(RESULTADOS_R!$T$36*I50)</f>
        <v>-3.5300400342361412E-5</v>
      </c>
      <c r="O54">
        <f t="shared" si="4"/>
        <v>-1.9818080548129378E-4</v>
      </c>
      <c r="P54" s="3"/>
      <c r="Q54" t="s">
        <v>133</v>
      </c>
      <c r="R54" t="s">
        <v>264</v>
      </c>
      <c r="S54">
        <v>-2.2638707798781611E-2</v>
      </c>
      <c r="T54">
        <f>RESULTADOS_R!$T$37</f>
        <v>-1.944E-3</v>
      </c>
      <c r="U54">
        <f t="shared" si="1"/>
        <v>-2.069470779878161E-2</v>
      </c>
      <c r="V54" s="3"/>
      <c r="W54" t="s">
        <v>133</v>
      </c>
      <c r="X54" t="s">
        <v>264</v>
      </c>
      <c r="Y54">
        <v>-2.3491357763485383E-2</v>
      </c>
      <c r="Z54">
        <f>RESULTADOS_R!$T$38</f>
        <v>-1.799E-3</v>
      </c>
      <c r="AA54">
        <f t="shared" si="2"/>
        <v>-2.1692357763485385E-2</v>
      </c>
      <c r="AB54" s="3"/>
      <c r="AC54" t="s">
        <v>133</v>
      </c>
      <c r="AD54" t="s">
        <v>264</v>
      </c>
      <c r="AE54">
        <v>-6.8749076970791656E-4</v>
      </c>
      <c r="AF54">
        <v>-8.5179817174770214E-3</v>
      </c>
      <c r="AG54">
        <v>-2.1679699615361096E-2</v>
      </c>
      <c r="AH54">
        <v>-7.4857359706839337E-3</v>
      </c>
      <c r="AI54">
        <v>-4.563251794325999E-3</v>
      </c>
      <c r="AJ54">
        <f>RESULTADOS_R!$T$39+(RESULTADOS_R!$T$40*AE53)+(RESULTADOS_R!$T$41*AE52)+(RESULTADOS_R!$T$42*AE51)+(RESULTADOS_R!$T$43*AE50)</f>
        <v>3.6567141116521755E-3</v>
      </c>
      <c r="AK54">
        <f t="shared" si="5"/>
        <v>-4.3442048813600916E-3</v>
      </c>
      <c r="AL54" s="3"/>
      <c r="AM54" t="s">
        <v>133</v>
      </c>
      <c r="AN54" t="s">
        <v>264</v>
      </c>
      <c r="AO54">
        <v>-5.1884969326465198E-3</v>
      </c>
      <c r="AP54">
        <v>-2.1519788671499264E-2</v>
      </c>
      <c r="AQ54">
        <v>-1.730341441193111E-2</v>
      </c>
      <c r="AR54">
        <v>-7.770223140184925E-3</v>
      </c>
      <c r="AS54">
        <v>-1.0836951329877368E-2</v>
      </c>
      <c r="AT54">
        <f>RESULTADOS_R!$T$44+(RESULTADOS_R!$T$45*AO53)+(RESULTADOS_R!$T$46*AO52)+(RESULTADOS_R!$T$47*AO51)+(RESULTADOS_R!$T$48*AO50)</f>
        <v>-3.3388956679437478E-3</v>
      </c>
      <c r="AU54">
        <f t="shared" si="6"/>
        <v>-1.8496012647027721E-3</v>
      </c>
      <c r="AV54" s="3"/>
      <c r="AW54" t="s">
        <v>133</v>
      </c>
      <c r="AX54" t="s">
        <v>264</v>
      </c>
      <c r="AY54">
        <v>3.9717479266559563E-3</v>
      </c>
      <c r="AZ54">
        <f>RESULTADOS_R!$T$49</f>
        <v>3.5589999999999998E-4</v>
      </c>
      <c r="BA54">
        <f t="shared" si="3"/>
        <v>3.6158479266559561E-3</v>
      </c>
    </row>
    <row r="55" spans="1:53" x14ac:dyDescent="0.25">
      <c r="A55" t="s">
        <v>133</v>
      </c>
      <c r="B55" t="s">
        <v>265</v>
      </c>
      <c r="C55">
        <v>-2.2999905859060917E-2</v>
      </c>
      <c r="D55">
        <f>RESULTADOS_R!$T$31</f>
        <v>2.8909999999999998E-4</v>
      </c>
      <c r="E55">
        <f t="shared" si="0"/>
        <v>-2.3289005859060918E-2</v>
      </c>
      <c r="F55" s="3"/>
      <c r="G55" t="s">
        <v>133</v>
      </c>
      <c r="H55" t="s">
        <v>265</v>
      </c>
      <c r="I55">
        <v>1.9828547932495967E-3</v>
      </c>
      <c r="J55">
        <v>-2.3348120582365519E-4</v>
      </c>
      <c r="K55">
        <v>0</v>
      </c>
      <c r="L55">
        <v>-1.1665890263774343E-3</v>
      </c>
      <c r="M55">
        <v>-2.3315458254389172E-4</v>
      </c>
      <c r="N55">
        <f>RESULTADOS_R!$T$32+(RESULTADOS_R!$T$33*I54)+(RESULTADOS_R!$T$34*I53)+(RESULTADOS_R!$T$35*I52)+(RESULTADOS_R!$T$36*I51)</f>
        <v>-6.8043430570595981E-5</v>
      </c>
      <c r="O55">
        <f t="shared" si="4"/>
        <v>2.0508982238201926E-3</v>
      </c>
      <c r="P55" s="3"/>
      <c r="Q55" t="s">
        <v>133</v>
      </c>
      <c r="R55" t="s">
        <v>265</v>
      </c>
      <c r="S55">
        <v>-4.9362017461494913E-2</v>
      </c>
      <c r="T55">
        <f>RESULTADOS_R!$T$37</f>
        <v>-1.944E-3</v>
      </c>
      <c r="U55">
        <f t="shared" si="1"/>
        <v>-4.7418017461494912E-2</v>
      </c>
      <c r="V55" s="3"/>
      <c r="W55" t="s">
        <v>133</v>
      </c>
      <c r="X55" t="s">
        <v>265</v>
      </c>
      <c r="Y55">
        <v>-5.0567037432572313E-2</v>
      </c>
      <c r="Z55">
        <f>RESULTADOS_R!$T$38</f>
        <v>-1.799E-3</v>
      </c>
      <c r="AA55">
        <f t="shared" si="2"/>
        <v>-4.8768037432572311E-2</v>
      </c>
      <c r="AB55" s="3"/>
      <c r="AC55" t="s">
        <v>133</v>
      </c>
      <c r="AD55" t="s">
        <v>265</v>
      </c>
      <c r="AE55">
        <v>1.8490024288520439E-3</v>
      </c>
      <c r="AF55">
        <v>-6.8749076970791656E-4</v>
      </c>
      <c r="AG55">
        <v>-8.5179817174770214E-3</v>
      </c>
      <c r="AH55">
        <v>-2.1679699615361096E-2</v>
      </c>
      <c r="AI55">
        <v>-7.4857359706839337E-3</v>
      </c>
      <c r="AJ55">
        <f>RESULTADOS_R!$T$39+(RESULTADOS_R!$T$40*AE54)+(RESULTADOS_R!$T$41*AE53)+(RESULTADOS_R!$T$42*AE52)+(RESULTADOS_R!$T$43*AE51)</f>
        <v>1.6063743847373958E-3</v>
      </c>
      <c r="AK55">
        <f t="shared" si="5"/>
        <v>2.4262804411464807E-4</v>
      </c>
      <c r="AL55" s="3"/>
      <c r="AM55" t="s">
        <v>133</v>
      </c>
      <c r="AN55" t="s">
        <v>265</v>
      </c>
      <c r="AO55">
        <v>-1.7102860087342589E-2</v>
      </c>
      <c r="AP55">
        <v>-5.1884969326465198E-3</v>
      </c>
      <c r="AQ55">
        <v>-2.1519788671499264E-2</v>
      </c>
      <c r="AR55">
        <v>-1.730341441193111E-2</v>
      </c>
      <c r="AS55">
        <v>-7.770223140184925E-3</v>
      </c>
      <c r="AT55">
        <f>RESULTADOS_R!$T$44+(RESULTADOS_R!$T$45*AO54)+(RESULTADOS_R!$T$46*AO53)+(RESULTADOS_R!$T$47*AO52)+(RESULTADOS_R!$T$48*AO51)</f>
        <v>4.6138785977114274E-4</v>
      </c>
      <c r="AU55">
        <f t="shared" si="6"/>
        <v>-1.7564247947113733E-2</v>
      </c>
      <c r="AV55" s="3"/>
      <c r="AW55" t="s">
        <v>133</v>
      </c>
      <c r="AX55" t="s">
        <v>265</v>
      </c>
      <c r="AY55">
        <v>-8.6254798237332102E-3</v>
      </c>
      <c r="AZ55">
        <f>RESULTADOS_R!$T$49</f>
        <v>3.5589999999999998E-4</v>
      </c>
      <c r="BA55">
        <f t="shared" si="3"/>
        <v>-8.9813798237332095E-3</v>
      </c>
    </row>
    <row r="56" spans="1:53" x14ac:dyDescent="0.25">
      <c r="A56" t="s">
        <v>133</v>
      </c>
      <c r="B56" t="s">
        <v>266</v>
      </c>
      <c r="C56">
        <v>1.3124654607853083E-2</v>
      </c>
      <c r="D56">
        <f>RESULTADOS_R!$T$31</f>
        <v>2.8909999999999998E-4</v>
      </c>
      <c r="E56">
        <f t="shared" si="0"/>
        <v>1.2835554607853083E-2</v>
      </c>
      <c r="F56" s="3"/>
      <c r="G56" t="s">
        <v>133</v>
      </c>
      <c r="H56" t="s">
        <v>266</v>
      </c>
      <c r="I56">
        <v>4.659832330360586E-4</v>
      </c>
      <c r="J56">
        <v>1.9828547932495967E-3</v>
      </c>
      <c r="K56">
        <v>-2.3348120582365519E-4</v>
      </c>
      <c r="L56">
        <v>0</v>
      </c>
      <c r="M56">
        <v>-1.1665890263774343E-3</v>
      </c>
      <c r="N56">
        <f>RESULTADOS_R!$T$32+(RESULTADOS_R!$T$33*I55)+(RESULTADOS_R!$T$34*I54)+(RESULTADOS_R!$T$35*I53)+(RESULTADOS_R!$T$36*I52)</f>
        <v>1.38791206520102E-5</v>
      </c>
      <c r="O56">
        <f t="shared" si="4"/>
        <v>4.521041123840484E-4</v>
      </c>
      <c r="P56" s="3"/>
      <c r="Q56" t="s">
        <v>133</v>
      </c>
      <c r="R56" t="s">
        <v>266</v>
      </c>
      <c r="S56">
        <v>7.6117567822670484E-2</v>
      </c>
      <c r="T56">
        <f>RESULTADOS_R!$T$37</f>
        <v>-1.944E-3</v>
      </c>
      <c r="U56">
        <f t="shared" si="1"/>
        <v>7.8061567822670486E-2</v>
      </c>
      <c r="V56" s="3"/>
      <c r="W56" t="s">
        <v>133</v>
      </c>
      <c r="X56" t="s">
        <v>266</v>
      </c>
      <c r="Y56">
        <v>9.7811580992016506E-2</v>
      </c>
      <c r="Z56">
        <f>RESULTADOS_R!$T$38</f>
        <v>-1.799E-3</v>
      </c>
      <c r="AA56">
        <f t="shared" si="2"/>
        <v>9.9610580992016501E-2</v>
      </c>
      <c r="AB56" s="3"/>
      <c r="AC56" t="s">
        <v>133</v>
      </c>
      <c r="AD56" t="s">
        <v>266</v>
      </c>
      <c r="AE56">
        <v>-3.8022646889812241E-3</v>
      </c>
      <c r="AF56">
        <v>1.8490024288520439E-3</v>
      </c>
      <c r="AG56">
        <v>-6.8749076970791656E-4</v>
      </c>
      <c r="AH56">
        <v>-8.5179817174770214E-3</v>
      </c>
      <c r="AI56">
        <v>-2.1679699615361096E-2</v>
      </c>
      <c r="AJ56">
        <f>RESULTADOS_R!$T$39+(RESULTADOS_R!$T$40*AE55)+(RESULTADOS_R!$T$41*AE54)+(RESULTADOS_R!$T$42*AE53)+(RESULTADOS_R!$T$43*AE52)</f>
        <v>-7.6042275362000469E-5</v>
      </c>
      <c r="AK56">
        <f t="shared" si="5"/>
        <v>-3.7262224136192235E-3</v>
      </c>
      <c r="AL56" s="3"/>
      <c r="AM56" t="s">
        <v>133</v>
      </c>
      <c r="AN56" t="s">
        <v>266</v>
      </c>
      <c r="AO56">
        <v>-1.0451958992916616E-2</v>
      </c>
      <c r="AP56">
        <v>-1.7102860087342589E-2</v>
      </c>
      <c r="AQ56">
        <v>-5.1884969326465198E-3</v>
      </c>
      <c r="AR56">
        <v>-2.1519788671499264E-2</v>
      </c>
      <c r="AS56">
        <v>-1.730341441193111E-2</v>
      </c>
      <c r="AT56">
        <f>RESULTADOS_R!$T$44+(RESULTADOS_R!$T$45*AO55)+(RESULTADOS_R!$T$46*AO54)+(RESULTADOS_R!$T$47*AO53)+(RESULTADOS_R!$T$48*AO52)</f>
        <v>-8.1156278034884236E-3</v>
      </c>
      <c r="AU56">
        <f t="shared" si="6"/>
        <v>-2.3363311894281924E-3</v>
      </c>
      <c r="AV56" s="3"/>
      <c r="AW56" t="s">
        <v>133</v>
      </c>
      <c r="AX56" t="s">
        <v>266</v>
      </c>
      <c r="AY56">
        <v>3.097973202930788E-3</v>
      </c>
      <c r="AZ56">
        <f>RESULTADOS_R!$T$49</f>
        <v>3.5589999999999998E-4</v>
      </c>
      <c r="BA56">
        <f t="shared" si="3"/>
        <v>2.7420732029307879E-3</v>
      </c>
    </row>
    <row r="57" spans="1:53" x14ac:dyDescent="0.25">
      <c r="A57" t="s">
        <v>133</v>
      </c>
      <c r="B57" t="s">
        <v>267</v>
      </c>
      <c r="C57">
        <v>-1.9149821280924809E-2</v>
      </c>
      <c r="D57">
        <f>RESULTADOS_R!$T$31</f>
        <v>2.8909999999999998E-4</v>
      </c>
      <c r="E57">
        <f t="shared" si="0"/>
        <v>-1.9438921280924809E-2</v>
      </c>
      <c r="F57" s="3"/>
      <c r="G57" t="s">
        <v>133</v>
      </c>
      <c r="H57" t="s">
        <v>267</v>
      </c>
      <c r="I57">
        <v>-8.1561321154058623E-4</v>
      </c>
      <c r="J57">
        <v>4.659832330360586E-4</v>
      </c>
      <c r="K57">
        <v>1.9828547932495967E-3</v>
      </c>
      <c r="L57">
        <v>-2.3348120582365519E-4</v>
      </c>
      <c r="M57">
        <v>0</v>
      </c>
      <c r="N57">
        <f>RESULTADOS_R!$T$32+(RESULTADOS_R!$T$33*I56)+(RESULTADOS_R!$T$34*I55)+(RESULTADOS_R!$T$35*I54)+(RESULTADOS_R!$T$36*I53)</f>
        <v>-5.6390338214366105E-4</v>
      </c>
      <c r="O57">
        <f t="shared" si="4"/>
        <v>-2.5170982939692519E-4</v>
      </c>
      <c r="P57" s="3"/>
      <c r="Q57" t="s">
        <v>133</v>
      </c>
      <c r="R57" t="s">
        <v>267</v>
      </c>
      <c r="S57">
        <v>-1.3955924513912503E-2</v>
      </c>
      <c r="T57">
        <f>RESULTADOS_R!$T$37</f>
        <v>-1.944E-3</v>
      </c>
      <c r="U57">
        <f t="shared" si="1"/>
        <v>-1.2011924513912503E-2</v>
      </c>
      <c r="V57" s="3"/>
      <c r="W57" t="s">
        <v>133</v>
      </c>
      <c r="X57" t="s">
        <v>267</v>
      </c>
      <c r="Y57">
        <v>4.1072718845707512E-2</v>
      </c>
      <c r="Z57">
        <f>RESULTADOS_R!$T$38</f>
        <v>-1.799E-3</v>
      </c>
      <c r="AA57">
        <f t="shared" si="2"/>
        <v>4.2871718845707514E-2</v>
      </c>
      <c r="AB57" s="3"/>
      <c r="AC57" t="s">
        <v>133</v>
      </c>
      <c r="AD57" t="s">
        <v>267</v>
      </c>
      <c r="AE57">
        <v>-6.3111547884805936E-3</v>
      </c>
      <c r="AF57">
        <v>-3.8022646889812241E-3</v>
      </c>
      <c r="AG57">
        <v>1.8490024288520439E-3</v>
      </c>
      <c r="AH57">
        <v>-6.8749076970791656E-4</v>
      </c>
      <c r="AI57">
        <v>-8.5179817174770214E-3</v>
      </c>
      <c r="AJ57">
        <f>RESULTADOS_R!$T$39+(RESULTADOS_R!$T$40*AE56)+(RESULTADOS_R!$T$41*AE55)+(RESULTADOS_R!$T$42*AE54)+(RESULTADOS_R!$T$43*AE53)</f>
        <v>-6.1332049917105257E-4</v>
      </c>
      <c r="AK57">
        <f t="shared" si="5"/>
        <v>-5.6978342893095413E-3</v>
      </c>
      <c r="AL57" s="3"/>
      <c r="AM57" t="s">
        <v>133</v>
      </c>
      <c r="AN57" t="s">
        <v>267</v>
      </c>
      <c r="AO57">
        <v>-4.0097759050879908E-3</v>
      </c>
      <c r="AP57">
        <v>-1.0451958992916616E-2</v>
      </c>
      <c r="AQ57">
        <v>-1.7102860087342589E-2</v>
      </c>
      <c r="AR57">
        <v>-5.1884969326465198E-3</v>
      </c>
      <c r="AS57">
        <v>-2.1519788671499264E-2</v>
      </c>
      <c r="AT57">
        <f>RESULTADOS_R!$T$44+(RESULTADOS_R!$T$45*AO56)+(RESULTADOS_R!$T$46*AO55)+(RESULTADOS_R!$T$47*AO54)+(RESULTADOS_R!$T$48*AO53)</f>
        <v>1.2419244921649984E-3</v>
      </c>
      <c r="AU57">
        <f t="shared" si="6"/>
        <v>-5.251700397252989E-3</v>
      </c>
      <c r="AV57" s="3"/>
      <c r="AW57" t="s">
        <v>133</v>
      </c>
      <c r="AX57" t="s">
        <v>267</v>
      </c>
      <c r="AY57">
        <v>-3.6082915380788705E-3</v>
      </c>
      <c r="AZ57">
        <f>RESULTADOS_R!$T$49</f>
        <v>3.5589999999999998E-4</v>
      </c>
      <c r="BA57">
        <f t="shared" si="3"/>
        <v>-3.9641915380788702E-3</v>
      </c>
    </row>
    <row r="58" spans="1:53" x14ac:dyDescent="0.25">
      <c r="A58" t="s">
        <v>133</v>
      </c>
      <c r="B58" t="s">
        <v>268</v>
      </c>
      <c r="C58">
        <v>-1.1894413357997782E-2</v>
      </c>
      <c r="D58">
        <f>RESULTADOS_R!$T$31</f>
        <v>2.8909999999999998E-4</v>
      </c>
      <c r="E58">
        <f t="shared" si="0"/>
        <v>-1.2183513357997782E-2</v>
      </c>
      <c r="F58" s="3"/>
      <c r="G58" t="s">
        <v>133</v>
      </c>
      <c r="H58" t="s">
        <v>268</v>
      </c>
      <c r="I58">
        <v>-4.6636353882465484E-4</v>
      </c>
      <c r="J58">
        <v>-8.1561321154058623E-4</v>
      </c>
      <c r="K58">
        <v>4.659832330360586E-4</v>
      </c>
      <c r="L58">
        <v>1.9828547932495967E-3</v>
      </c>
      <c r="M58">
        <v>-2.3348120582365519E-4</v>
      </c>
      <c r="N58">
        <f>RESULTADOS_R!$T$32+(RESULTADOS_R!$T$33*I57)+(RESULTADOS_R!$T$34*I56)+(RESULTADOS_R!$T$35*I55)+(RESULTADOS_R!$T$36*I54)</f>
        <v>-3.1447377356392609E-4</v>
      </c>
      <c r="O58">
        <f t="shared" si="4"/>
        <v>-1.5188976526072875E-4</v>
      </c>
      <c r="P58" s="3"/>
      <c r="Q58" t="s">
        <v>133</v>
      </c>
      <c r="R58" t="s">
        <v>268</v>
      </c>
      <c r="S58">
        <v>3.9288171373714461E-3</v>
      </c>
      <c r="T58">
        <f>RESULTADOS_R!$T$37</f>
        <v>-1.944E-3</v>
      </c>
      <c r="U58">
        <f t="shared" si="1"/>
        <v>5.8728171373714465E-3</v>
      </c>
      <c r="V58" s="3"/>
      <c r="W58" t="s">
        <v>133</v>
      </c>
      <c r="X58" t="s">
        <v>268</v>
      </c>
      <c r="Y58">
        <v>-9.6521471392167889E-3</v>
      </c>
      <c r="Z58">
        <f>RESULTADOS_R!$T$38</f>
        <v>-1.799E-3</v>
      </c>
      <c r="AA58">
        <f t="shared" si="2"/>
        <v>-7.8531471392167887E-3</v>
      </c>
      <c r="AB58" s="3"/>
      <c r="AC58" t="s">
        <v>133</v>
      </c>
      <c r="AD58" t="s">
        <v>268</v>
      </c>
      <c r="AE58">
        <v>4.9937681804869743E-3</v>
      </c>
      <c r="AF58">
        <v>-6.3111547884805936E-3</v>
      </c>
      <c r="AG58">
        <v>-3.8022646889812241E-3</v>
      </c>
      <c r="AH58">
        <v>1.8490024288520439E-3</v>
      </c>
      <c r="AI58">
        <v>-6.8749076970791656E-4</v>
      </c>
      <c r="AJ58">
        <f>RESULTADOS_R!$T$39+(RESULTADOS_R!$T$40*AE57)+(RESULTADOS_R!$T$41*AE56)+(RESULTADOS_R!$T$42*AE55)+(RESULTADOS_R!$T$43*AE54)</f>
        <v>5.1436523798181419E-4</v>
      </c>
      <c r="AK58">
        <f t="shared" si="5"/>
        <v>4.4794029425051602E-3</v>
      </c>
      <c r="AL58" s="3"/>
      <c r="AM58" t="s">
        <v>133</v>
      </c>
      <c r="AN58" t="s">
        <v>268</v>
      </c>
      <c r="AO58">
        <v>-2.1839140595809037E-2</v>
      </c>
      <c r="AP58">
        <v>-4.0097759050879908E-3</v>
      </c>
      <c r="AQ58">
        <v>-1.0451958992916616E-2</v>
      </c>
      <c r="AR58">
        <v>-1.7102860087342589E-2</v>
      </c>
      <c r="AS58">
        <v>-5.1884969326465198E-3</v>
      </c>
      <c r="AT58">
        <f>RESULTADOS_R!$T$44+(RESULTADOS_R!$T$45*AO57)+(RESULTADOS_R!$T$46*AO56)+(RESULTADOS_R!$T$47*AO55)+(RESULTADOS_R!$T$48*AO54)</f>
        <v>-2.2342280948993427E-3</v>
      </c>
      <c r="AU58">
        <f t="shared" si="6"/>
        <v>-1.9604912500909694E-2</v>
      </c>
      <c r="AV58" s="3"/>
      <c r="AW58" t="s">
        <v>133</v>
      </c>
      <c r="AX58" t="s">
        <v>268</v>
      </c>
      <c r="AY58">
        <v>3.541260934198249E-4</v>
      </c>
      <c r="AZ58">
        <f>RESULTADOS_R!$T$49</f>
        <v>3.5589999999999998E-4</v>
      </c>
      <c r="BA58">
        <f t="shared" si="3"/>
        <v>-1.7739065801750781E-6</v>
      </c>
    </row>
    <row r="59" spans="1:53" x14ac:dyDescent="0.25">
      <c r="A59" t="s">
        <v>133</v>
      </c>
      <c r="B59" t="s">
        <v>269</v>
      </c>
      <c r="C59">
        <v>1.4103488960265117E-2</v>
      </c>
      <c r="D59">
        <f>RESULTADOS_R!$T$31</f>
        <v>2.8909999999999998E-4</v>
      </c>
      <c r="E59">
        <f t="shared" si="0"/>
        <v>1.3814388960265116E-2</v>
      </c>
      <c r="F59" s="3"/>
      <c r="G59" t="s">
        <v>133</v>
      </c>
      <c r="H59" t="s">
        <v>269</v>
      </c>
      <c r="I59">
        <v>-1.283622324567217E-3</v>
      </c>
      <c r="J59">
        <v>-4.6636353882465484E-4</v>
      </c>
      <c r="K59">
        <v>-8.1561321154058623E-4</v>
      </c>
      <c r="L59">
        <v>4.659832330360586E-4</v>
      </c>
      <c r="M59">
        <v>1.9828547932495967E-3</v>
      </c>
      <c r="N59">
        <f>RESULTADOS_R!$T$32+(RESULTADOS_R!$T$33*I58)+(RESULTADOS_R!$T$34*I57)+(RESULTADOS_R!$T$35*I56)+(RESULTADOS_R!$T$36*I55)</f>
        <v>-8.4822231878835187E-4</v>
      </c>
      <c r="O59">
        <f t="shared" si="4"/>
        <v>-4.3540000577886508E-4</v>
      </c>
      <c r="P59" s="3"/>
      <c r="Q59" t="s">
        <v>133</v>
      </c>
      <c r="R59" t="s">
        <v>269</v>
      </c>
      <c r="S59">
        <v>-1.3227314141794424E-2</v>
      </c>
      <c r="T59">
        <f>RESULTADOS_R!$T$37</f>
        <v>-1.944E-3</v>
      </c>
      <c r="U59">
        <f t="shared" si="1"/>
        <v>-1.1283314141794424E-2</v>
      </c>
      <c r="V59" s="3"/>
      <c r="W59" t="s">
        <v>133</v>
      </c>
      <c r="X59" t="s">
        <v>269</v>
      </c>
      <c r="Y59">
        <v>-1.6638152462012973E-2</v>
      </c>
      <c r="Z59">
        <f>RESULTADOS_R!$T$38</f>
        <v>-1.799E-3</v>
      </c>
      <c r="AA59">
        <f t="shared" si="2"/>
        <v>-1.4839152462012973E-2</v>
      </c>
      <c r="AB59" s="3"/>
      <c r="AC59" t="s">
        <v>133</v>
      </c>
      <c r="AD59" t="s">
        <v>269</v>
      </c>
      <c r="AE59">
        <v>-7.895741186051658E-3</v>
      </c>
      <c r="AF59">
        <v>4.9937681804869743E-3</v>
      </c>
      <c r="AG59">
        <v>-6.3111547884805936E-3</v>
      </c>
      <c r="AH59">
        <v>-3.8022646889812241E-3</v>
      </c>
      <c r="AI59">
        <v>1.8490024288520439E-3</v>
      </c>
      <c r="AJ59">
        <f>RESULTADOS_R!$T$39+(RESULTADOS_R!$T$40*AE58)+(RESULTADOS_R!$T$41*AE57)+(RESULTADOS_R!$T$42*AE56)+(RESULTADOS_R!$T$43*AE55)</f>
        <v>1.9589790088243566E-3</v>
      </c>
      <c r="AK59">
        <f t="shared" si="5"/>
        <v>-9.8547201948760155E-3</v>
      </c>
      <c r="AL59" s="3"/>
      <c r="AM59" t="s">
        <v>133</v>
      </c>
      <c r="AN59" t="s">
        <v>269</v>
      </c>
      <c r="AO59">
        <v>3.0885774136105563E-3</v>
      </c>
      <c r="AP59">
        <v>-2.1839140595809037E-2</v>
      </c>
      <c r="AQ59">
        <v>-4.0097759050879908E-3</v>
      </c>
      <c r="AR59">
        <v>-1.0451958992916616E-2</v>
      </c>
      <c r="AS59">
        <v>-1.7102860087342589E-2</v>
      </c>
      <c r="AT59">
        <f>RESULTADOS_R!$T$44+(RESULTADOS_R!$T$45*AO58)+(RESULTADOS_R!$T$46*AO57)+(RESULTADOS_R!$T$47*AO56)+(RESULTADOS_R!$T$48*AO55)</f>
        <v>-7.3022493819926418E-3</v>
      </c>
      <c r="AU59">
        <f t="shared" si="6"/>
        <v>1.0390826795603198E-2</v>
      </c>
      <c r="AV59" s="3"/>
      <c r="AW59" t="s">
        <v>133</v>
      </c>
      <c r="AX59" t="s">
        <v>269</v>
      </c>
      <c r="AY59">
        <v>1.3320569758843959E-3</v>
      </c>
      <c r="AZ59">
        <f>RESULTADOS_R!$T$49</f>
        <v>3.5589999999999998E-4</v>
      </c>
      <c r="BA59">
        <f t="shared" si="3"/>
        <v>9.7615697588439602E-4</v>
      </c>
    </row>
    <row r="60" spans="1:53" x14ac:dyDescent="0.25">
      <c r="A60" t="s">
        <v>133</v>
      </c>
      <c r="B60" t="s">
        <v>270</v>
      </c>
      <c r="C60">
        <v>-8.4910827749088268E-3</v>
      </c>
      <c r="D60">
        <f>RESULTADOS_R!$T$31</f>
        <v>2.8909999999999998E-4</v>
      </c>
      <c r="E60">
        <f t="shared" si="0"/>
        <v>-8.7801827749088273E-3</v>
      </c>
      <c r="F60" s="3"/>
      <c r="G60" t="s">
        <v>133</v>
      </c>
      <c r="H60" t="s">
        <v>270</v>
      </c>
      <c r="I60">
        <v>5.836689595454216E-4</v>
      </c>
      <c r="J60">
        <v>-1.283622324567217E-3</v>
      </c>
      <c r="K60">
        <v>-4.6636353882465484E-4</v>
      </c>
      <c r="L60">
        <v>-8.1561321154058623E-4</v>
      </c>
      <c r="M60">
        <v>4.659832330360586E-4</v>
      </c>
      <c r="N60">
        <f>RESULTADOS_R!$T$32+(RESULTADOS_R!$T$33*I59)+(RESULTADOS_R!$T$34*I58)+(RESULTADOS_R!$T$35*I57)+(RESULTADOS_R!$T$36*I56)</f>
        <v>-1.844923350352036E-4</v>
      </c>
      <c r="O60">
        <f t="shared" si="4"/>
        <v>7.6816129458062514E-4</v>
      </c>
      <c r="P60" s="3"/>
      <c r="Q60" t="s">
        <v>133</v>
      </c>
      <c r="R60" t="s">
        <v>270</v>
      </c>
      <c r="S60">
        <v>-5.2331597612583595E-2</v>
      </c>
      <c r="T60">
        <f>RESULTADOS_R!$T$37</f>
        <v>-1.944E-3</v>
      </c>
      <c r="U60">
        <f t="shared" si="1"/>
        <v>-5.0387597612583594E-2</v>
      </c>
      <c r="V60" s="3"/>
      <c r="W60" t="s">
        <v>133</v>
      </c>
      <c r="X60" t="s">
        <v>270</v>
      </c>
      <c r="Y60">
        <v>-6.6583516083106045E-2</v>
      </c>
      <c r="Z60">
        <f>RESULTADOS_R!$T$38</f>
        <v>-1.799E-3</v>
      </c>
      <c r="AA60">
        <f t="shared" si="2"/>
        <v>-6.478451608310605E-2</v>
      </c>
      <c r="AB60" s="3"/>
      <c r="AC60" t="s">
        <v>133</v>
      </c>
      <c r="AD60" t="s">
        <v>270</v>
      </c>
      <c r="AE60">
        <v>8.5013939636498729E-3</v>
      </c>
      <c r="AF60">
        <v>-7.895741186051658E-3</v>
      </c>
      <c r="AG60">
        <v>4.9937681804869743E-3</v>
      </c>
      <c r="AH60">
        <v>-6.3111547884805936E-3</v>
      </c>
      <c r="AI60">
        <v>-3.8022646889812241E-3</v>
      </c>
      <c r="AJ60">
        <f>RESULTADOS_R!$T$39+(RESULTADOS_R!$T$40*AE59)+(RESULTADOS_R!$T$41*AE58)+(RESULTADOS_R!$T$42*AE57)+(RESULTADOS_R!$T$43*AE56)</f>
        <v>-1.4301127574556224E-3</v>
      </c>
      <c r="AK60">
        <f t="shared" si="5"/>
        <v>9.9315067211054944E-3</v>
      </c>
      <c r="AL60" s="3"/>
      <c r="AM60" t="s">
        <v>133</v>
      </c>
      <c r="AN60" t="s">
        <v>270</v>
      </c>
      <c r="AO60">
        <v>5.9887622678279472E-3</v>
      </c>
      <c r="AP60">
        <v>3.0885774136105563E-3</v>
      </c>
      <c r="AQ60">
        <v>-2.1839140595809037E-2</v>
      </c>
      <c r="AR60">
        <v>-4.0097759050879908E-3</v>
      </c>
      <c r="AS60">
        <v>-1.0451958992916616E-2</v>
      </c>
      <c r="AT60">
        <f>RESULTADOS_R!$T$44+(RESULTADOS_R!$T$45*AO59)+(RESULTADOS_R!$T$46*AO58)+(RESULTADOS_R!$T$47*AO57)+(RESULTADOS_R!$T$48*AO56)</f>
        <v>6.4123474165124266E-3</v>
      </c>
      <c r="AU60">
        <f t="shared" si="6"/>
        <v>-4.2358514868447942E-4</v>
      </c>
      <c r="AV60" s="3"/>
      <c r="AW60" t="s">
        <v>133</v>
      </c>
      <c r="AX60" t="s">
        <v>270</v>
      </c>
      <c r="AY60">
        <v>-4.0567318900583215E-4</v>
      </c>
      <c r="AZ60">
        <f>RESULTADOS_R!$T$49</f>
        <v>3.5589999999999998E-4</v>
      </c>
      <c r="BA60">
        <f t="shared" si="3"/>
        <v>-7.6157318900583212E-4</v>
      </c>
    </row>
    <row r="61" spans="1:53" x14ac:dyDescent="0.25">
      <c r="A61" t="s">
        <v>133</v>
      </c>
      <c r="B61" t="s">
        <v>271</v>
      </c>
      <c r="C61">
        <v>1.1675798842428595E-2</v>
      </c>
      <c r="D61">
        <f>RESULTADOS_R!$T$31</f>
        <v>2.8909999999999998E-4</v>
      </c>
      <c r="E61">
        <f t="shared" si="0"/>
        <v>1.1386698842428595E-2</v>
      </c>
      <c r="F61" s="3"/>
      <c r="G61" t="s">
        <v>133</v>
      </c>
      <c r="H61" t="s">
        <v>271</v>
      </c>
      <c r="I61">
        <v>-8.1723196422734843E-4</v>
      </c>
      <c r="J61">
        <v>5.836689595454216E-4</v>
      </c>
      <c r="K61">
        <v>-1.283622324567217E-3</v>
      </c>
      <c r="L61">
        <v>-4.6636353882465484E-4</v>
      </c>
      <c r="M61">
        <v>-8.1561321154058623E-4</v>
      </c>
      <c r="N61">
        <f>RESULTADOS_R!$T$32+(RESULTADOS_R!$T$33*I60)+(RESULTADOS_R!$T$34*I59)+(RESULTADOS_R!$T$35*I58)+(RESULTADOS_R!$T$36*I57)</f>
        <v>1.9683126312163848E-4</v>
      </c>
      <c r="O61">
        <f t="shared" si="4"/>
        <v>-1.0140632273489868E-3</v>
      </c>
      <c r="P61" s="3"/>
      <c r="Q61" t="s">
        <v>133</v>
      </c>
      <c r="R61" t="s">
        <v>271</v>
      </c>
      <c r="S61">
        <v>-5.7908206715156216E-2</v>
      </c>
      <c r="T61">
        <f>RESULTADOS_R!$T$37</f>
        <v>-1.944E-3</v>
      </c>
      <c r="U61">
        <f t="shared" si="1"/>
        <v>-5.5964206715156214E-2</v>
      </c>
      <c r="V61" s="3"/>
      <c r="W61" t="s">
        <v>133</v>
      </c>
      <c r="X61" t="s">
        <v>271</v>
      </c>
      <c r="Y61">
        <v>3.2180065796360485E-2</v>
      </c>
      <c r="Z61">
        <f>RESULTADOS_R!$T$38</f>
        <v>-1.799E-3</v>
      </c>
      <c r="AA61">
        <f t="shared" si="2"/>
        <v>3.3979065796360487E-2</v>
      </c>
      <c r="AB61" s="3"/>
      <c r="AC61" t="s">
        <v>133</v>
      </c>
      <c r="AD61" t="s">
        <v>271</v>
      </c>
      <c r="AE61">
        <v>-3.1612811818069629E-3</v>
      </c>
      <c r="AF61">
        <v>8.5013939636498729E-3</v>
      </c>
      <c r="AG61">
        <v>-7.895741186051658E-3</v>
      </c>
      <c r="AH61">
        <v>4.9937681804869743E-3</v>
      </c>
      <c r="AI61">
        <v>-6.3111547884805936E-3</v>
      </c>
      <c r="AJ61">
        <f>RESULTADOS_R!$T$39+(RESULTADOS_R!$T$40*AE60)+(RESULTADOS_R!$T$41*AE59)+(RESULTADOS_R!$T$42*AE58)+(RESULTADOS_R!$T$43*AE57)</f>
        <v>2.3372498404767728E-3</v>
      </c>
      <c r="AK61">
        <f t="shared" si="5"/>
        <v>-5.4985310222837357E-3</v>
      </c>
      <c r="AL61" s="3"/>
      <c r="AM61" t="s">
        <v>133</v>
      </c>
      <c r="AN61" t="s">
        <v>271</v>
      </c>
      <c r="AO61">
        <v>-7.0127546304107925E-3</v>
      </c>
      <c r="AP61">
        <v>5.9887622678279472E-3</v>
      </c>
      <c r="AQ61">
        <v>3.0885774136105563E-3</v>
      </c>
      <c r="AR61">
        <v>-2.1839140595809037E-2</v>
      </c>
      <c r="AS61">
        <v>-4.0097759050879908E-3</v>
      </c>
      <c r="AT61">
        <f>RESULTADOS_R!$T$44+(RESULTADOS_R!$T$45*AO60)+(RESULTADOS_R!$T$46*AO59)+(RESULTADOS_R!$T$47*AO58)+(RESULTADOS_R!$T$48*AO57)</f>
        <v>-3.9372453047526838E-3</v>
      </c>
      <c r="AU61">
        <f t="shared" si="6"/>
        <v>-3.0755093256581087E-3</v>
      </c>
      <c r="AV61" s="3"/>
      <c r="AW61" t="s">
        <v>133</v>
      </c>
      <c r="AX61" t="s">
        <v>271</v>
      </c>
      <c r="AY61">
        <v>2.1928351949898331E-3</v>
      </c>
      <c r="AZ61">
        <f>RESULTADOS_R!$T$49</f>
        <v>3.5589999999999998E-4</v>
      </c>
      <c r="BA61">
        <f t="shared" si="3"/>
        <v>1.8369351949898331E-3</v>
      </c>
    </row>
    <row r="62" spans="1:53" x14ac:dyDescent="0.25">
      <c r="A62" t="s">
        <v>133</v>
      </c>
      <c r="B62" t="s">
        <v>272</v>
      </c>
      <c r="C62">
        <v>2.0499720939214695E-2</v>
      </c>
      <c r="D62">
        <f>RESULTADOS_R!$T$31</f>
        <v>2.8909999999999998E-4</v>
      </c>
      <c r="E62">
        <f t="shared" si="0"/>
        <v>2.0210620939214694E-2</v>
      </c>
      <c r="F62" s="3"/>
      <c r="G62" t="s">
        <v>133</v>
      </c>
      <c r="H62" t="s">
        <v>272</v>
      </c>
      <c r="I62">
        <v>-1.2855725489361591E-3</v>
      </c>
      <c r="J62">
        <v>-8.1723196422734843E-4</v>
      </c>
      <c r="K62">
        <v>5.836689595454216E-4</v>
      </c>
      <c r="L62">
        <v>-1.283622324567217E-3</v>
      </c>
      <c r="M62">
        <v>-4.6636353882465484E-4</v>
      </c>
      <c r="N62">
        <f>RESULTADOS_R!$T$32+(RESULTADOS_R!$T$33*I61)+(RESULTADOS_R!$T$34*I60)+(RESULTADOS_R!$T$35*I59)+(RESULTADOS_R!$T$36*I58)</f>
        <v>-5.4852637527501422E-6</v>
      </c>
      <c r="O62">
        <f t="shared" si="4"/>
        <v>-1.2800872851834091E-3</v>
      </c>
      <c r="P62" s="3"/>
      <c r="Q62" t="s">
        <v>133</v>
      </c>
      <c r="R62" t="s">
        <v>272</v>
      </c>
      <c r="S62">
        <v>2.3194283171643795E-3</v>
      </c>
      <c r="T62">
        <f>RESULTADOS_R!$T$37</f>
        <v>-1.944E-3</v>
      </c>
      <c r="U62">
        <f t="shared" si="1"/>
        <v>4.2634283171643795E-3</v>
      </c>
      <c r="V62" s="3"/>
      <c r="W62" t="s">
        <v>133</v>
      </c>
      <c r="X62" t="s">
        <v>272</v>
      </c>
      <c r="Y62">
        <v>-1.0070874401389984E-2</v>
      </c>
      <c r="Z62">
        <f>RESULTADOS_R!$T$38</f>
        <v>-1.799E-3</v>
      </c>
      <c r="AA62">
        <f t="shared" si="2"/>
        <v>-8.271874401389984E-3</v>
      </c>
      <c r="AB62" s="3"/>
      <c r="AC62" t="s">
        <v>133</v>
      </c>
      <c r="AD62" t="s">
        <v>272</v>
      </c>
      <c r="AE62">
        <v>3.3294529865185271E-3</v>
      </c>
      <c r="AF62">
        <v>-3.1612811818069629E-3</v>
      </c>
      <c r="AG62">
        <v>8.5013939636498729E-3</v>
      </c>
      <c r="AH62">
        <v>-7.895741186051658E-3</v>
      </c>
      <c r="AI62">
        <v>4.9937681804869743E-3</v>
      </c>
      <c r="AJ62">
        <f>RESULTADOS_R!$T$39+(RESULTADOS_R!$T$40*AE61)+(RESULTADOS_R!$T$41*AE60)+(RESULTADOS_R!$T$42*AE59)+(RESULTADOS_R!$T$43*AE58)</f>
        <v>-1.4811324551363698E-3</v>
      </c>
      <c r="AK62">
        <f t="shared" si="5"/>
        <v>4.8105854416548967E-3</v>
      </c>
      <c r="AL62" s="3"/>
      <c r="AM62" t="s">
        <v>133</v>
      </c>
      <c r="AN62" t="s">
        <v>272</v>
      </c>
      <c r="AO62">
        <v>5.2652836826316491E-3</v>
      </c>
      <c r="AP62">
        <v>-7.0127546304107925E-3</v>
      </c>
      <c r="AQ62">
        <v>5.9887622678279472E-3</v>
      </c>
      <c r="AR62">
        <v>3.0885774136105563E-3</v>
      </c>
      <c r="AS62">
        <v>-2.1839140595809037E-2</v>
      </c>
      <c r="AT62">
        <f>RESULTADOS_R!$T$44+(RESULTADOS_R!$T$45*AO61)+(RESULTADOS_R!$T$46*AO60)+(RESULTADOS_R!$T$47*AO59)+(RESULTADOS_R!$T$48*AO58)</f>
        <v>-1.9113790420332609E-3</v>
      </c>
      <c r="AU62">
        <f t="shared" si="6"/>
        <v>7.17666272466491E-3</v>
      </c>
      <c r="AV62" s="3"/>
      <c r="AW62" t="s">
        <v>133</v>
      </c>
      <c r="AX62" t="s">
        <v>272</v>
      </c>
      <c r="AY62">
        <v>4.2553854620160027E-4</v>
      </c>
      <c r="AZ62">
        <f>RESULTADOS_R!$T$49</f>
        <v>3.5589999999999998E-4</v>
      </c>
      <c r="BA62">
        <f t="shared" si="3"/>
        <v>6.9638546201600292E-5</v>
      </c>
    </row>
    <row r="63" spans="1:53" x14ac:dyDescent="0.25">
      <c r="A63" t="s">
        <v>133</v>
      </c>
      <c r="B63" t="s">
        <v>273</v>
      </c>
      <c r="C63">
        <v>3.0677484646984532E-3</v>
      </c>
      <c r="D63">
        <f>RESULTADOS_R!$T$31</f>
        <v>2.8909999999999998E-4</v>
      </c>
      <c r="E63">
        <f t="shared" si="0"/>
        <v>2.7786484646984532E-3</v>
      </c>
      <c r="F63" s="3"/>
      <c r="G63" t="s">
        <v>133</v>
      </c>
      <c r="H63" t="s">
        <v>273</v>
      </c>
      <c r="I63">
        <v>3.5077463089862256E-4</v>
      </c>
      <c r="J63">
        <v>-1.2855725489361591E-3</v>
      </c>
      <c r="K63">
        <v>-8.1723196422734843E-4</v>
      </c>
      <c r="L63">
        <v>5.836689595454216E-4</v>
      </c>
      <c r="M63">
        <v>-1.283622324567217E-3</v>
      </c>
      <c r="N63">
        <f>RESULTADOS_R!$T$32+(RESULTADOS_R!$T$33*I62)+(RESULTADOS_R!$T$34*I61)+(RESULTADOS_R!$T$35*I60)+(RESULTADOS_R!$T$36*I59)</f>
        <v>3.896741685178407E-4</v>
      </c>
      <c r="O63">
        <f t="shared" si="4"/>
        <v>-3.8899537619218141E-5</v>
      </c>
      <c r="P63" s="3"/>
      <c r="Q63" t="s">
        <v>133</v>
      </c>
      <c r="R63" t="s">
        <v>273</v>
      </c>
      <c r="S63">
        <v>-3.859281101900276E-3</v>
      </c>
      <c r="T63">
        <f>RESULTADOS_R!$T$37</f>
        <v>-1.944E-3</v>
      </c>
      <c r="U63">
        <f t="shared" si="1"/>
        <v>-1.915281101900276E-3</v>
      </c>
      <c r="V63" s="3"/>
      <c r="W63" t="s">
        <v>133</v>
      </c>
      <c r="X63" t="s">
        <v>273</v>
      </c>
      <c r="Y63">
        <v>2.839811767136776E-2</v>
      </c>
      <c r="Z63">
        <f>RESULTADOS_R!$T$38</f>
        <v>-1.799E-3</v>
      </c>
      <c r="AA63">
        <f t="shared" si="2"/>
        <v>3.0197117671367759E-2</v>
      </c>
      <c r="AB63" s="3"/>
      <c r="AC63" t="s">
        <v>133</v>
      </c>
      <c r="AD63" t="s">
        <v>273</v>
      </c>
      <c r="AE63">
        <v>-1.1104569156579717E-3</v>
      </c>
      <c r="AF63">
        <v>3.3294529865185271E-3</v>
      </c>
      <c r="AG63">
        <v>-3.1612811818069629E-3</v>
      </c>
      <c r="AH63">
        <v>8.5013939636498729E-3</v>
      </c>
      <c r="AI63">
        <v>-7.895741186051658E-3</v>
      </c>
      <c r="AJ63">
        <f>RESULTADOS_R!$T$39+(RESULTADOS_R!$T$40*AE62)+(RESULTADOS_R!$T$41*AE61)+(RESULTADOS_R!$T$42*AE60)+(RESULTADOS_R!$T$43*AE59)</f>
        <v>9.7280987943997987E-4</v>
      </c>
      <c r="AK63">
        <f t="shared" si="5"/>
        <v>-2.0832667950979513E-3</v>
      </c>
      <c r="AL63" s="3"/>
      <c r="AM63" t="s">
        <v>133</v>
      </c>
      <c r="AN63" t="s">
        <v>273</v>
      </c>
      <c r="AO63">
        <v>-3.4326761745435115E-3</v>
      </c>
      <c r="AP63">
        <v>5.2652836826316491E-3</v>
      </c>
      <c r="AQ63">
        <v>-7.0127546304107925E-3</v>
      </c>
      <c r="AR63">
        <v>5.9887622678279472E-3</v>
      </c>
      <c r="AS63">
        <v>3.0885774136105563E-3</v>
      </c>
      <c r="AT63">
        <f>RESULTADOS_R!$T$44+(RESULTADOS_R!$T$45*AO62)+(RESULTADOS_R!$T$46*AO61)+(RESULTADOS_R!$T$47*AO60)+(RESULTADOS_R!$T$48*AO59)</f>
        <v>4.7429857657780971E-3</v>
      </c>
      <c r="AU63">
        <f t="shared" si="6"/>
        <v>-8.1756619403216095E-3</v>
      </c>
      <c r="AV63" s="3"/>
      <c r="AW63" t="s">
        <v>133</v>
      </c>
      <c r="AX63" t="s">
        <v>273</v>
      </c>
      <c r="AY63">
        <v>-4.9411583760631166E-3</v>
      </c>
      <c r="AZ63">
        <f>RESULTADOS_R!$T$49</f>
        <v>3.5589999999999998E-4</v>
      </c>
      <c r="BA63">
        <f t="shared" si="3"/>
        <v>-5.2970583760631167E-3</v>
      </c>
    </row>
    <row r="64" spans="1:53" x14ac:dyDescent="0.25">
      <c r="A64" t="s">
        <v>133</v>
      </c>
      <c r="B64" t="s">
        <v>274</v>
      </c>
      <c r="C64">
        <v>-7.2156238179156501E-3</v>
      </c>
      <c r="D64">
        <f>RESULTADOS_R!$T$31</f>
        <v>2.8909999999999998E-4</v>
      </c>
      <c r="E64">
        <f t="shared" si="0"/>
        <v>-7.5047238179156497E-3</v>
      </c>
      <c r="F64" s="3"/>
      <c r="G64" t="s">
        <v>133</v>
      </c>
      <c r="H64" t="s">
        <v>274</v>
      </c>
      <c r="I64">
        <v>-3.5077463089865183E-4</v>
      </c>
      <c r="J64">
        <v>3.5077463089862256E-4</v>
      </c>
      <c r="K64">
        <v>-1.2855725489361591E-3</v>
      </c>
      <c r="L64">
        <v>-8.1723196422734843E-4</v>
      </c>
      <c r="M64">
        <v>5.836689595454216E-4</v>
      </c>
      <c r="N64">
        <f>RESULTADOS_R!$T$32+(RESULTADOS_R!$T$33*I63)+(RESULTADOS_R!$T$34*I62)+(RESULTADOS_R!$T$35*I61)+(RESULTADOS_R!$T$36*I60)</f>
        <v>-2.5821817095454235E-4</v>
      </c>
      <c r="O64">
        <f t="shared" si="4"/>
        <v>-9.2556459944109477E-5</v>
      </c>
      <c r="P64" s="3"/>
      <c r="Q64" t="s">
        <v>133</v>
      </c>
      <c r="R64" t="s">
        <v>274</v>
      </c>
      <c r="S64">
        <v>-5.7721502136015325E-2</v>
      </c>
      <c r="T64">
        <f>RESULTADOS_R!$T$37</f>
        <v>-1.944E-3</v>
      </c>
      <c r="U64">
        <f t="shared" si="1"/>
        <v>-5.5777502136015324E-2</v>
      </c>
      <c r="V64" s="3"/>
      <c r="W64" t="s">
        <v>133</v>
      </c>
      <c r="X64" t="s">
        <v>274</v>
      </c>
      <c r="Y64">
        <v>-7.4701251558092138E-2</v>
      </c>
      <c r="Z64">
        <f>RESULTADOS_R!$T$38</f>
        <v>-1.799E-3</v>
      </c>
      <c r="AA64">
        <f t="shared" si="2"/>
        <v>-7.2902251558092143E-2</v>
      </c>
      <c r="AB64" s="3"/>
      <c r="AC64" t="s">
        <v>133</v>
      </c>
      <c r="AD64" t="s">
        <v>274</v>
      </c>
      <c r="AE64">
        <v>-4.273847226118524E-3</v>
      </c>
      <c r="AF64">
        <v>-1.1104569156579717E-3</v>
      </c>
      <c r="AG64">
        <v>3.3294529865185271E-3</v>
      </c>
      <c r="AH64">
        <v>-3.1612811818069629E-3</v>
      </c>
      <c r="AI64">
        <v>8.5013939636498729E-3</v>
      </c>
      <c r="AJ64">
        <f>RESULTADOS_R!$T$39+(RESULTADOS_R!$T$40*AE63)+(RESULTADOS_R!$T$41*AE62)+(RESULTADOS_R!$T$42*AE61)+(RESULTADOS_R!$T$43*AE60)</f>
        <v>-2.0009434236036456E-4</v>
      </c>
      <c r="AK64">
        <f t="shared" si="5"/>
        <v>-4.0737528837581595E-3</v>
      </c>
      <c r="AL64" s="3"/>
      <c r="AM64" t="s">
        <v>133</v>
      </c>
      <c r="AN64" t="s">
        <v>274</v>
      </c>
      <c r="AO64">
        <v>-2.0961249385051069E-2</v>
      </c>
      <c r="AP64">
        <v>-3.4326761745435115E-3</v>
      </c>
      <c r="AQ64">
        <v>5.2652836826316491E-3</v>
      </c>
      <c r="AR64">
        <v>-7.0127546304107925E-3</v>
      </c>
      <c r="AS64">
        <v>5.9887622678279472E-3</v>
      </c>
      <c r="AT64">
        <f>RESULTADOS_R!$T$44+(RESULTADOS_R!$T$45*AO63)+(RESULTADOS_R!$T$46*AO62)+(RESULTADOS_R!$T$47*AO61)+(RESULTADOS_R!$T$48*AO60)</f>
        <v>-4.491782225417575E-3</v>
      </c>
      <c r="AU64">
        <f t="shared" si="6"/>
        <v>-1.6469467159633495E-2</v>
      </c>
      <c r="AV64" s="3"/>
      <c r="AW64" t="s">
        <v>133</v>
      </c>
      <c r="AX64" t="s">
        <v>274</v>
      </c>
      <c r="AY64">
        <v>3.9237164278277383E-3</v>
      </c>
      <c r="AZ64">
        <f>RESULTADOS_R!$T$49</f>
        <v>3.5589999999999998E-4</v>
      </c>
      <c r="BA64">
        <f t="shared" si="3"/>
        <v>3.5678164278277382E-3</v>
      </c>
    </row>
    <row r="65" spans="1:53" x14ac:dyDescent="0.25">
      <c r="A65" t="s">
        <v>133</v>
      </c>
      <c r="B65" t="s">
        <v>275</v>
      </c>
      <c r="C65">
        <v>9.5102748906392247E-3</v>
      </c>
      <c r="D65">
        <f>RESULTADOS_R!$T$31</f>
        <v>2.8909999999999998E-4</v>
      </c>
      <c r="E65">
        <f t="shared" si="0"/>
        <v>9.2211748906392242E-3</v>
      </c>
      <c r="F65" s="3"/>
      <c r="G65" t="s">
        <v>133</v>
      </c>
      <c r="H65" t="s">
        <v>275</v>
      </c>
      <c r="I65">
        <v>4.676721703384542E-4</v>
      </c>
      <c r="J65">
        <v>-3.5077463089865183E-4</v>
      </c>
      <c r="K65">
        <v>3.5077463089862256E-4</v>
      </c>
      <c r="L65">
        <v>-1.2855725489361591E-3</v>
      </c>
      <c r="M65">
        <v>-8.1723196422734843E-4</v>
      </c>
      <c r="N65">
        <f>RESULTADOS_R!$T$32+(RESULTADOS_R!$T$33*I64)+(RESULTADOS_R!$T$34*I63)+(RESULTADOS_R!$T$35*I62)+(RESULTADOS_R!$T$36*I61)</f>
        <v>1.1146172631686313E-4</v>
      </c>
      <c r="O65">
        <f t="shared" si="4"/>
        <v>3.5621044402159107E-4</v>
      </c>
      <c r="P65" s="3"/>
      <c r="Q65" t="s">
        <v>133</v>
      </c>
      <c r="R65" t="s">
        <v>275</v>
      </c>
      <c r="S65">
        <v>-9.0358255230363598E-3</v>
      </c>
      <c r="T65">
        <f>RESULTADOS_R!$T$37</f>
        <v>-1.944E-3</v>
      </c>
      <c r="U65">
        <f t="shared" si="1"/>
        <v>-7.0918255230363603E-3</v>
      </c>
      <c r="V65" s="3"/>
      <c r="W65" t="s">
        <v>133</v>
      </c>
      <c r="X65" t="s">
        <v>275</v>
      </c>
      <c r="Y65">
        <v>-5.2655759671920897E-2</v>
      </c>
      <c r="Z65">
        <f>RESULTADOS_R!$T$38</f>
        <v>-1.799E-3</v>
      </c>
      <c r="AA65">
        <f t="shared" si="2"/>
        <v>-5.0856759671920895E-2</v>
      </c>
      <c r="AB65" s="3"/>
      <c r="AC65" t="s">
        <v>133</v>
      </c>
      <c r="AD65" t="s">
        <v>275</v>
      </c>
      <c r="AE65">
        <v>4.5263320994079221E-3</v>
      </c>
      <c r="AF65">
        <v>-4.273847226118524E-3</v>
      </c>
      <c r="AG65">
        <v>-1.1104569156579717E-3</v>
      </c>
      <c r="AH65">
        <v>3.3294529865185271E-3</v>
      </c>
      <c r="AI65">
        <v>-3.1612811818069629E-3</v>
      </c>
      <c r="AJ65">
        <f>RESULTADOS_R!$T$39+(RESULTADOS_R!$T$40*AE64)+(RESULTADOS_R!$T$41*AE63)+(RESULTADOS_R!$T$42*AE62)+(RESULTADOS_R!$T$43*AE61)</f>
        <v>8.9240161633654994E-5</v>
      </c>
      <c r="AK65">
        <f t="shared" si="5"/>
        <v>4.4370919377742669E-3</v>
      </c>
      <c r="AL65" s="3"/>
      <c r="AM65" t="s">
        <v>133</v>
      </c>
      <c r="AN65" t="s">
        <v>275</v>
      </c>
      <c r="AO65">
        <v>1.0619022878843087E-2</v>
      </c>
      <c r="AP65">
        <v>-2.0961249385051069E-2</v>
      </c>
      <c r="AQ65">
        <v>-3.4326761745435115E-3</v>
      </c>
      <c r="AR65">
        <v>5.2652836826316491E-3</v>
      </c>
      <c r="AS65">
        <v>-7.0127546304107925E-3</v>
      </c>
      <c r="AT65">
        <f>RESULTADOS_R!$T$44+(RESULTADOS_R!$T$45*AO64)+(RESULTADOS_R!$T$46*AO63)+(RESULTADOS_R!$T$47*AO62)+(RESULTADOS_R!$T$48*AO61)</f>
        <v>-4.0134662422136964E-3</v>
      </c>
      <c r="AU65">
        <f t="shared" si="6"/>
        <v>1.4632489121056785E-2</v>
      </c>
      <c r="AV65" s="3"/>
      <c r="AW65" t="s">
        <v>133</v>
      </c>
      <c r="AX65" t="s">
        <v>275</v>
      </c>
      <c r="AY65">
        <v>-1.8090331807027881E-3</v>
      </c>
      <c r="AZ65">
        <f>RESULTADOS_R!$T$49</f>
        <v>3.5589999999999998E-4</v>
      </c>
      <c r="BA65">
        <f t="shared" si="3"/>
        <v>-2.1649331807027882E-3</v>
      </c>
    </row>
    <row r="66" spans="1:53" x14ac:dyDescent="0.25">
      <c r="A66" t="s">
        <v>133</v>
      </c>
      <c r="B66" t="s">
        <v>276</v>
      </c>
      <c r="C66">
        <v>-9.1675303604856553E-3</v>
      </c>
      <c r="D66">
        <f>RESULTADOS_R!$T$31</f>
        <v>2.8909999999999998E-4</v>
      </c>
      <c r="E66">
        <f t="shared" si="0"/>
        <v>-9.4566303604856558E-3</v>
      </c>
      <c r="F66" s="3"/>
      <c r="G66" t="s">
        <v>133</v>
      </c>
      <c r="H66" t="s">
        <v>276</v>
      </c>
      <c r="I66">
        <v>5.8428280949387036E-4</v>
      </c>
      <c r="J66">
        <v>4.676721703384542E-4</v>
      </c>
      <c r="K66">
        <v>-3.5077463089865183E-4</v>
      </c>
      <c r="L66">
        <v>3.5077463089862256E-4</v>
      </c>
      <c r="M66">
        <v>-1.2855725489361591E-3</v>
      </c>
      <c r="N66">
        <f>RESULTADOS_R!$T$32+(RESULTADOS_R!$T$33*I65)+(RESULTADOS_R!$T$34*I64)+(RESULTADOS_R!$T$35*I63)+(RESULTADOS_R!$T$36*I62)</f>
        <v>1.8373456750048244E-4</v>
      </c>
      <c r="O66">
        <f t="shared" si="4"/>
        <v>4.0054824199338792E-4</v>
      </c>
      <c r="P66" s="3"/>
      <c r="Q66" t="s">
        <v>133</v>
      </c>
      <c r="R66" t="s">
        <v>276</v>
      </c>
      <c r="S66">
        <v>-1.076450488753493E-2</v>
      </c>
      <c r="T66">
        <f>RESULTADOS_R!$T$37</f>
        <v>-1.944E-3</v>
      </c>
      <c r="U66">
        <f t="shared" si="1"/>
        <v>-8.8205048875349308E-3</v>
      </c>
      <c r="V66" s="3"/>
      <c r="W66" t="s">
        <v>133</v>
      </c>
      <c r="X66" t="s">
        <v>276</v>
      </c>
      <c r="Y66">
        <v>-3.2311110732743294E-2</v>
      </c>
      <c r="Z66">
        <f>RESULTADOS_R!$T$38</f>
        <v>-1.799E-3</v>
      </c>
      <c r="AA66">
        <f t="shared" si="2"/>
        <v>-3.0512110732743295E-2</v>
      </c>
      <c r="AB66" s="3"/>
      <c r="AC66" t="s">
        <v>133</v>
      </c>
      <c r="AD66" t="s">
        <v>276</v>
      </c>
      <c r="AE66">
        <v>2.4821763994504619E-3</v>
      </c>
      <c r="AF66">
        <v>4.5263320994079221E-3</v>
      </c>
      <c r="AG66">
        <v>-4.273847226118524E-3</v>
      </c>
      <c r="AH66">
        <v>-1.1104569156579717E-3</v>
      </c>
      <c r="AI66">
        <v>3.3294529865185271E-3</v>
      </c>
      <c r="AJ66">
        <f>RESULTADOS_R!$T$39+(RESULTADOS_R!$T$40*AE65)+(RESULTADOS_R!$T$41*AE64)+(RESULTADOS_R!$T$42*AE63)+(RESULTADOS_R!$T$43*AE62)</f>
        <v>1.5785584223239656E-3</v>
      </c>
      <c r="AK66">
        <f t="shared" si="5"/>
        <v>9.0361797712649626E-4</v>
      </c>
      <c r="AL66" s="3"/>
      <c r="AM66" t="s">
        <v>133</v>
      </c>
      <c r="AN66" t="s">
        <v>276</v>
      </c>
      <c r="AO66">
        <v>6.6377894776430491E-3</v>
      </c>
      <c r="AP66">
        <v>1.0619022878843087E-2</v>
      </c>
      <c r="AQ66">
        <v>-2.0961249385051069E-2</v>
      </c>
      <c r="AR66">
        <v>-3.4326761745435115E-3</v>
      </c>
      <c r="AS66">
        <v>5.2652836826316491E-3</v>
      </c>
      <c r="AT66">
        <f>RESULTADOS_R!$T$44+(RESULTADOS_R!$T$45*AO65)+(RESULTADOS_R!$T$46*AO64)+(RESULTADOS_R!$T$47*AO63)+(RESULTADOS_R!$T$48*AO62)</f>
        <v>7.8104209254267146E-3</v>
      </c>
      <c r="AU66">
        <f t="shared" si="6"/>
        <v>-1.1726314477836655E-3</v>
      </c>
      <c r="AV66" s="3"/>
      <c r="AW66" t="s">
        <v>133</v>
      </c>
      <c r="AX66" t="s">
        <v>276</v>
      </c>
      <c r="AY66">
        <v>2.2867368888752166E-3</v>
      </c>
      <c r="AZ66">
        <f>RESULTADOS_R!$T$49</f>
        <v>3.5589999999999998E-4</v>
      </c>
      <c r="BA66">
        <f t="shared" si="3"/>
        <v>1.9308368888752167E-3</v>
      </c>
    </row>
    <row r="67" spans="1:53" x14ac:dyDescent="0.25">
      <c r="A67" t="s">
        <v>133</v>
      </c>
      <c r="B67" t="s">
        <v>277</v>
      </c>
      <c r="C67">
        <v>-7.5029105826218854E-3</v>
      </c>
      <c r="D67">
        <f>RESULTADOS_R!$T$31</f>
        <v>2.8909999999999998E-4</v>
      </c>
      <c r="E67">
        <f t="shared" ref="E67:E126" si="7">C67-D67</f>
        <v>-7.792010582621885E-3</v>
      </c>
      <c r="F67" s="3"/>
      <c r="G67" t="s">
        <v>133</v>
      </c>
      <c r="H67" t="s">
        <v>277</v>
      </c>
      <c r="I67">
        <v>-5.8428280949391243E-4</v>
      </c>
      <c r="J67">
        <v>5.8428280949387036E-4</v>
      </c>
      <c r="K67">
        <v>4.676721703384542E-4</v>
      </c>
      <c r="L67">
        <v>-3.5077463089865183E-4</v>
      </c>
      <c r="M67">
        <v>3.5077463089862256E-4</v>
      </c>
      <c r="N67">
        <f>RESULTADOS_R!$T$32+(RESULTADOS_R!$T$33*I66)+(RESULTADOS_R!$T$34*I65)+(RESULTADOS_R!$T$35*I64)+(RESULTADOS_R!$T$36*I63)</f>
        <v>-4.7780871694779337E-4</v>
      </c>
      <c r="O67">
        <f t="shared" si="4"/>
        <v>-1.0647409254611905E-4</v>
      </c>
      <c r="P67" s="3"/>
      <c r="Q67" t="s">
        <v>133</v>
      </c>
      <c r="R67" t="s">
        <v>277</v>
      </c>
      <c r="S67">
        <v>-2.674850701199397E-3</v>
      </c>
      <c r="T67">
        <f>RESULTADOS_R!$T$37</f>
        <v>-1.944E-3</v>
      </c>
      <c r="U67">
        <f t="shared" ref="U67:U126" si="8">S67-T67</f>
        <v>-7.3085070119939706E-4</v>
      </c>
      <c r="V67" s="3"/>
      <c r="W67" t="s">
        <v>133</v>
      </c>
      <c r="X67" t="s">
        <v>277</v>
      </c>
      <c r="Y67">
        <v>-1.0302375945576052E-2</v>
      </c>
      <c r="Z67">
        <f>RESULTADOS_R!$T$38</f>
        <v>-1.799E-3</v>
      </c>
      <c r="AA67">
        <f t="shared" ref="AA67:AA126" si="9">Y67-Z67</f>
        <v>-8.503375945576052E-3</v>
      </c>
      <c r="AB67" s="3"/>
      <c r="AC67" t="s">
        <v>133</v>
      </c>
      <c r="AD67" t="s">
        <v>277</v>
      </c>
      <c r="AE67">
        <v>-9.4234234577899711E-3</v>
      </c>
      <c r="AF67">
        <v>2.4821763994504619E-3</v>
      </c>
      <c r="AG67">
        <v>4.5263320994079221E-3</v>
      </c>
      <c r="AH67">
        <v>-4.273847226118524E-3</v>
      </c>
      <c r="AI67">
        <v>-1.1104569156579717E-3</v>
      </c>
      <c r="AJ67">
        <f>RESULTADOS_R!$T$39+(RESULTADOS_R!$T$40*AE66)+(RESULTADOS_R!$T$41*AE65)+(RESULTADOS_R!$T$42*AE64)+(RESULTADOS_R!$T$43*AE63)</f>
        <v>-4.2620981698183731E-4</v>
      </c>
      <c r="AK67">
        <f t="shared" si="5"/>
        <v>-8.9972136408081344E-3</v>
      </c>
      <c r="AL67" s="3"/>
      <c r="AM67" t="s">
        <v>133</v>
      </c>
      <c r="AN67" t="s">
        <v>277</v>
      </c>
      <c r="AO67">
        <v>-1.7384508221594052E-2</v>
      </c>
      <c r="AP67">
        <v>6.6377894776430491E-3</v>
      </c>
      <c r="AQ67">
        <v>1.0619022878843087E-2</v>
      </c>
      <c r="AR67">
        <v>-2.0961249385051069E-2</v>
      </c>
      <c r="AS67">
        <v>-3.4326761745435115E-3</v>
      </c>
      <c r="AT67">
        <f>RESULTADOS_R!$T$44+(RESULTADOS_R!$T$45*AO66)+(RESULTADOS_R!$T$46*AO65)+(RESULTADOS_R!$T$47*AO64)+(RESULTADOS_R!$T$48*AO63)</f>
        <v>-5.5800465359670363E-3</v>
      </c>
      <c r="AU67">
        <f t="shared" si="6"/>
        <v>-1.1804461685627016E-2</v>
      </c>
      <c r="AV67" s="3"/>
      <c r="AW67" t="s">
        <v>133</v>
      </c>
      <c r="AX67" t="s">
        <v>277</v>
      </c>
      <c r="AY67">
        <v>2.6336542119243939E-3</v>
      </c>
      <c r="AZ67">
        <f>RESULTADOS_R!$T$49</f>
        <v>3.5589999999999998E-4</v>
      </c>
      <c r="BA67">
        <f t="shared" ref="BA67:BA126" si="10">AY67-AZ67</f>
        <v>2.2777542119243937E-3</v>
      </c>
    </row>
    <row r="68" spans="1:53" x14ac:dyDescent="0.25">
      <c r="A68" t="s">
        <v>133</v>
      </c>
      <c r="B68" t="s">
        <v>278</v>
      </c>
      <c r="C68">
        <v>1.6224670974253043E-2</v>
      </c>
      <c r="D68">
        <f>RESULTADOS_R!$T$31</f>
        <v>2.8909999999999998E-4</v>
      </c>
      <c r="E68">
        <f t="shared" si="7"/>
        <v>1.5935570974253042E-2</v>
      </c>
      <c r="F68" s="3"/>
      <c r="G68" t="s">
        <v>133</v>
      </c>
      <c r="H68" t="s">
        <v>278</v>
      </c>
      <c r="I68">
        <v>3.5061065046821185E-4</v>
      </c>
      <c r="J68">
        <v>-5.8428280949391243E-4</v>
      </c>
      <c r="K68">
        <v>5.8428280949387036E-4</v>
      </c>
      <c r="L68">
        <v>4.676721703384542E-4</v>
      </c>
      <c r="M68">
        <v>-3.5077463089865183E-4</v>
      </c>
      <c r="N68">
        <f>RESULTADOS_R!$T$32+(RESULTADOS_R!$T$33*I67)+(RESULTADOS_R!$T$34*I66)+(RESULTADOS_R!$T$35*I65)+(RESULTADOS_R!$T$36*I64)</f>
        <v>-1.9773310795816206E-4</v>
      </c>
      <c r="O68">
        <f t="shared" si="4"/>
        <v>5.4834375842637397E-4</v>
      </c>
      <c r="P68" s="3"/>
      <c r="Q68" t="s">
        <v>133</v>
      </c>
      <c r="R68" t="s">
        <v>278</v>
      </c>
      <c r="S68">
        <v>4.7838725835428655E-2</v>
      </c>
      <c r="T68">
        <f>RESULTADOS_R!$T$37</f>
        <v>-1.944E-3</v>
      </c>
      <c r="U68">
        <f t="shared" si="8"/>
        <v>4.9782725835428657E-2</v>
      </c>
      <c r="V68" s="3"/>
      <c r="W68" t="s">
        <v>133</v>
      </c>
      <c r="X68" t="s">
        <v>278</v>
      </c>
      <c r="Y68">
        <v>7.0341770396422157E-2</v>
      </c>
      <c r="Z68">
        <f>RESULTADOS_R!$T$38</f>
        <v>-1.799E-3</v>
      </c>
      <c r="AA68">
        <f t="shared" si="9"/>
        <v>7.2140770396422152E-2</v>
      </c>
      <c r="AB68" s="3"/>
      <c r="AC68" t="s">
        <v>133</v>
      </c>
      <c r="AD68" t="s">
        <v>278</v>
      </c>
      <c r="AE68">
        <v>3.8790770441702684E-3</v>
      </c>
      <c r="AF68">
        <v>-9.4234234577899711E-3</v>
      </c>
      <c r="AG68">
        <v>2.4821763994504619E-3</v>
      </c>
      <c r="AH68">
        <v>4.5263320994079221E-3</v>
      </c>
      <c r="AI68">
        <v>-4.273847226118524E-3</v>
      </c>
      <c r="AJ68">
        <f>RESULTADOS_R!$T$39+(RESULTADOS_R!$T$40*AE67)+(RESULTADOS_R!$T$41*AE66)+(RESULTADOS_R!$T$42*AE65)+(RESULTADOS_R!$T$43*AE64)</f>
        <v>-1.0459749148942139E-3</v>
      </c>
      <c r="AK68">
        <f t="shared" si="5"/>
        <v>4.9250519590644821E-3</v>
      </c>
      <c r="AL68" s="3"/>
      <c r="AM68" t="s">
        <v>133</v>
      </c>
      <c r="AN68" t="s">
        <v>278</v>
      </c>
      <c r="AO68">
        <v>5.653137120319696E-3</v>
      </c>
      <c r="AP68">
        <v>-1.7384508221594052E-2</v>
      </c>
      <c r="AQ68">
        <v>6.6377894776430491E-3</v>
      </c>
      <c r="AR68">
        <v>1.0619022878843087E-2</v>
      </c>
      <c r="AS68">
        <v>-2.0961249385051069E-2</v>
      </c>
      <c r="AT68">
        <f>RESULTADOS_R!$T$44+(RESULTADOS_R!$T$45*AO67)+(RESULTADOS_R!$T$46*AO66)+(RESULTADOS_R!$T$47*AO65)+(RESULTADOS_R!$T$48*AO64)</f>
        <v>-3.5839823932364446E-3</v>
      </c>
      <c r="AU68">
        <f t="shared" si="6"/>
        <v>9.2371195135561406E-3</v>
      </c>
      <c r="AV68" s="3"/>
      <c r="AW68" t="s">
        <v>133</v>
      </c>
      <c r="AX68" t="s">
        <v>278</v>
      </c>
      <c r="AY68">
        <v>-6.2149762206005672E-4</v>
      </c>
      <c r="AZ68">
        <f>RESULTADOS_R!$T$49</f>
        <v>3.5589999999999998E-4</v>
      </c>
      <c r="BA68">
        <f t="shared" si="10"/>
        <v>-9.7739762206005675E-4</v>
      </c>
    </row>
    <row r="69" spans="1:53" x14ac:dyDescent="0.25">
      <c r="A69" t="s">
        <v>133</v>
      </c>
      <c r="B69" t="s">
        <v>279</v>
      </c>
      <c r="C69">
        <v>-8.7860160434733627E-3</v>
      </c>
      <c r="D69">
        <f>RESULTADOS_R!$T$31</f>
        <v>2.8909999999999998E-4</v>
      </c>
      <c r="E69">
        <f t="shared" si="7"/>
        <v>-9.0751160434733632E-3</v>
      </c>
      <c r="F69" s="3"/>
      <c r="G69" t="s">
        <v>133</v>
      </c>
      <c r="H69" t="s">
        <v>279</v>
      </c>
      <c r="I69">
        <v>5.8407804942977887E-4</v>
      </c>
      <c r="J69">
        <v>3.5061065046821185E-4</v>
      </c>
      <c r="K69">
        <v>-5.8428280949391243E-4</v>
      </c>
      <c r="L69">
        <v>5.8428280949387036E-4</v>
      </c>
      <c r="M69">
        <v>4.676721703384542E-4</v>
      </c>
      <c r="N69">
        <f>RESULTADOS_R!$T$32+(RESULTADOS_R!$T$33*I68)+(RESULTADOS_R!$T$34*I67)+(RESULTADOS_R!$T$35*I66)+(RESULTADOS_R!$T$36*I65)</f>
        <v>-4.1938196893250631E-4</v>
      </c>
      <c r="O69">
        <f t="shared" si="4"/>
        <v>1.0034600183622851E-3</v>
      </c>
      <c r="P69" s="3"/>
      <c r="Q69" t="s">
        <v>133</v>
      </c>
      <c r="R69" t="s">
        <v>279</v>
      </c>
      <c r="S69">
        <v>-2.5504020607964754E-2</v>
      </c>
      <c r="T69">
        <f>RESULTADOS_R!$T$37</f>
        <v>-1.944E-3</v>
      </c>
      <c r="U69">
        <f t="shared" si="8"/>
        <v>-2.3560020607964752E-2</v>
      </c>
      <c r="V69" s="3"/>
      <c r="W69" t="s">
        <v>133</v>
      </c>
      <c r="X69" t="s">
        <v>279</v>
      </c>
      <c r="Y69">
        <v>-1.4013500224573924E-2</v>
      </c>
      <c r="Z69">
        <f>RESULTADOS_R!$T$38</f>
        <v>-1.799E-3</v>
      </c>
      <c r="AA69">
        <f t="shared" si="9"/>
        <v>-1.2214500224573923E-2</v>
      </c>
      <c r="AB69" s="3"/>
      <c r="AC69" t="s">
        <v>133</v>
      </c>
      <c r="AD69" t="s">
        <v>279</v>
      </c>
      <c r="AE69">
        <v>1.2287317385842151E-2</v>
      </c>
      <c r="AF69">
        <v>3.8790770441702684E-3</v>
      </c>
      <c r="AG69">
        <v>-9.4234234577899711E-3</v>
      </c>
      <c r="AH69">
        <v>2.4821763994504619E-3</v>
      </c>
      <c r="AI69">
        <v>4.5263320994079221E-3</v>
      </c>
      <c r="AJ69">
        <f>RESULTADOS_R!$T$39+(RESULTADOS_R!$T$40*AE68)+(RESULTADOS_R!$T$41*AE67)+(RESULTADOS_R!$T$42*AE66)+(RESULTADOS_R!$T$43*AE65)</f>
        <v>2.5692786599821505E-3</v>
      </c>
      <c r="AK69">
        <f t="shared" si="5"/>
        <v>9.7180387258600006E-3</v>
      </c>
      <c r="AL69" s="3"/>
      <c r="AM69" t="s">
        <v>133</v>
      </c>
      <c r="AN69" t="s">
        <v>279</v>
      </c>
      <c r="AO69">
        <v>1.8423347417442025E-2</v>
      </c>
      <c r="AP69">
        <v>5.653137120319696E-3</v>
      </c>
      <c r="AQ69">
        <v>-1.7384508221594052E-2</v>
      </c>
      <c r="AR69">
        <v>6.6377894776430491E-3</v>
      </c>
      <c r="AS69">
        <v>1.0619022878843087E-2</v>
      </c>
      <c r="AT69">
        <f>RESULTADOS_R!$T$44+(RESULTADOS_R!$T$45*AO68)+(RESULTADOS_R!$T$46*AO67)+(RESULTADOS_R!$T$47*AO66)+(RESULTADOS_R!$T$48*AO65)</f>
        <v>7.3946693687578701E-3</v>
      </c>
      <c r="AU69">
        <f t="shared" si="6"/>
        <v>1.1028678048684154E-2</v>
      </c>
      <c r="AV69" s="3"/>
      <c r="AW69" t="s">
        <v>133</v>
      </c>
      <c r="AX69" t="s">
        <v>279</v>
      </c>
      <c r="AY69">
        <v>-4.8713956933053278E-3</v>
      </c>
      <c r="AZ69">
        <f>RESULTADOS_R!$T$49</f>
        <v>3.5589999999999998E-4</v>
      </c>
      <c r="BA69">
        <f t="shared" si="10"/>
        <v>-5.2272956933053279E-3</v>
      </c>
    </row>
    <row r="70" spans="1:53" x14ac:dyDescent="0.25">
      <c r="A70" t="s">
        <v>133</v>
      </c>
      <c r="B70" t="s">
        <v>280</v>
      </c>
      <c r="C70">
        <v>-1.0356093545835289E-2</v>
      </c>
      <c r="D70">
        <f>RESULTADOS_R!$T$31</f>
        <v>2.8909999999999998E-4</v>
      </c>
      <c r="E70">
        <f t="shared" si="7"/>
        <v>-1.0645193545835289E-2</v>
      </c>
      <c r="F70" s="3"/>
      <c r="G70" t="s">
        <v>133</v>
      </c>
      <c r="H70" t="s">
        <v>280</v>
      </c>
      <c r="I70">
        <v>-4.6723514458231892E-4</v>
      </c>
      <c r="J70">
        <v>5.8407804942977887E-4</v>
      </c>
      <c r="K70">
        <v>3.5061065046821185E-4</v>
      </c>
      <c r="L70">
        <v>-5.8428280949391243E-4</v>
      </c>
      <c r="M70">
        <v>5.8428280949387036E-4</v>
      </c>
      <c r="N70">
        <f>RESULTADOS_R!$T$32+(RESULTADOS_R!$T$33*I69)+(RESULTADOS_R!$T$34*I68)+(RESULTADOS_R!$T$35*I67)+(RESULTADOS_R!$T$36*I66)</f>
        <v>-5.2778907832788701E-4</v>
      </c>
      <c r="O70">
        <f t="shared" si="4"/>
        <v>6.055393374556809E-5</v>
      </c>
      <c r="P70" s="3"/>
      <c r="Q70" t="s">
        <v>133</v>
      </c>
      <c r="R70" t="s">
        <v>280</v>
      </c>
      <c r="S70">
        <v>-3.1180124415429972E-2</v>
      </c>
      <c r="T70">
        <f>RESULTADOS_R!$T$37</f>
        <v>-1.944E-3</v>
      </c>
      <c r="U70">
        <f t="shared" si="8"/>
        <v>-2.923612441542997E-2</v>
      </c>
      <c r="V70" s="3"/>
      <c r="W70" t="s">
        <v>133</v>
      </c>
      <c r="X70" t="s">
        <v>280</v>
      </c>
      <c r="Y70">
        <v>-2.1164631958642825E-2</v>
      </c>
      <c r="Z70">
        <f>RESULTADOS_R!$T$38</f>
        <v>-1.799E-3</v>
      </c>
      <c r="AA70">
        <f t="shared" si="9"/>
        <v>-1.9365631958642826E-2</v>
      </c>
      <c r="AB70" s="3"/>
      <c r="AC70" t="s">
        <v>133</v>
      </c>
      <c r="AD70" t="s">
        <v>280</v>
      </c>
      <c r="AE70">
        <v>-7.506860788870684E-4</v>
      </c>
      <c r="AF70">
        <v>1.2287317385842151E-2</v>
      </c>
      <c r="AG70">
        <v>3.8790770441702684E-3</v>
      </c>
      <c r="AH70">
        <v>-9.4234234577899711E-3</v>
      </c>
      <c r="AI70">
        <v>2.4821763994504619E-3</v>
      </c>
      <c r="AJ70">
        <f>RESULTADOS_R!$T$39+(RESULTADOS_R!$T$40*AE69)+(RESULTADOS_R!$T$41*AE68)+(RESULTADOS_R!$T$42*AE67)+(RESULTADOS_R!$T$43*AE66)</f>
        <v>5.7039618543113511E-4</v>
      </c>
      <c r="AK70">
        <f t="shared" si="5"/>
        <v>-1.3210822643182035E-3</v>
      </c>
      <c r="AL70" s="3"/>
      <c r="AM70" t="s">
        <v>133</v>
      </c>
      <c r="AN70" t="s">
        <v>280</v>
      </c>
      <c r="AO70">
        <v>-5.0304409174031133E-3</v>
      </c>
      <c r="AP70">
        <v>1.8423347417442025E-2</v>
      </c>
      <c r="AQ70">
        <v>5.653137120319696E-3</v>
      </c>
      <c r="AR70">
        <v>-1.7384508221594052E-2</v>
      </c>
      <c r="AS70">
        <v>6.6377894776430491E-3</v>
      </c>
      <c r="AT70">
        <f>RESULTADOS_R!$T$44+(RESULTADOS_R!$T$45*AO69)+(RESULTADOS_R!$T$46*AO68)+(RESULTADOS_R!$T$47*AO67)+(RESULTADOS_R!$T$48*AO66)</f>
        <v>-2.7404640695425324E-4</v>
      </c>
      <c r="AU70">
        <f t="shared" si="6"/>
        <v>-4.75639451044886E-3</v>
      </c>
      <c r="AV70" s="3"/>
      <c r="AW70" t="s">
        <v>133</v>
      </c>
      <c r="AX70" t="s">
        <v>280</v>
      </c>
      <c r="AY70">
        <v>5.4307609319471867E-3</v>
      </c>
      <c r="AZ70">
        <f>RESULTADOS_R!$T$49</f>
        <v>3.5589999999999998E-4</v>
      </c>
      <c r="BA70">
        <f t="shared" si="10"/>
        <v>5.0748609319471866E-3</v>
      </c>
    </row>
    <row r="71" spans="1:53" x14ac:dyDescent="0.25">
      <c r="A71" t="s">
        <v>133</v>
      </c>
      <c r="B71" t="s">
        <v>281</v>
      </c>
      <c r="C71">
        <v>-1.1449094437413335E-2</v>
      </c>
      <c r="D71">
        <f>RESULTADOS_R!$T$31</f>
        <v>2.8909999999999998E-4</v>
      </c>
      <c r="E71">
        <f t="shared" si="7"/>
        <v>-1.1738194437413335E-2</v>
      </c>
      <c r="F71" s="3"/>
      <c r="G71" t="s">
        <v>133</v>
      </c>
      <c r="H71" t="s">
        <v>281</v>
      </c>
      <c r="I71">
        <v>2.336448608759212E-4</v>
      </c>
      <c r="J71">
        <v>-4.6723514458231892E-4</v>
      </c>
      <c r="K71">
        <v>5.8407804942977887E-4</v>
      </c>
      <c r="L71">
        <v>3.5061065046821185E-4</v>
      </c>
      <c r="M71">
        <v>-5.8428280949391243E-4</v>
      </c>
      <c r="N71">
        <f>RESULTADOS_R!$T$32+(RESULTADOS_R!$T$33*I70)+(RESULTADOS_R!$T$34*I69)+(RESULTADOS_R!$T$35*I68)+(RESULTADOS_R!$T$36*I67)</f>
        <v>-1.1576364124042305E-4</v>
      </c>
      <c r="O71">
        <f t="shared" ref="O71:O126" si="11">I71-N71</f>
        <v>3.4940850211634422E-4</v>
      </c>
      <c r="P71" s="3"/>
      <c r="Q71" t="s">
        <v>133</v>
      </c>
      <c r="R71" t="s">
        <v>281</v>
      </c>
      <c r="S71">
        <v>1.4570905342836775E-2</v>
      </c>
      <c r="T71">
        <f>RESULTADOS_R!$T$37</f>
        <v>-1.944E-3</v>
      </c>
      <c r="U71">
        <f t="shared" si="8"/>
        <v>1.6514905342836776E-2</v>
      </c>
      <c r="V71" s="3"/>
      <c r="W71" t="s">
        <v>133</v>
      </c>
      <c r="X71" t="s">
        <v>281</v>
      </c>
      <c r="Y71">
        <v>1.391435502240285E-2</v>
      </c>
      <c r="Z71">
        <f>RESULTADOS_R!$T$38</f>
        <v>-1.799E-3</v>
      </c>
      <c r="AA71">
        <f t="shared" si="9"/>
        <v>1.5713355022402849E-2</v>
      </c>
      <c r="AB71" s="3"/>
      <c r="AC71" t="s">
        <v>133</v>
      </c>
      <c r="AD71" t="s">
        <v>281</v>
      </c>
      <c r="AE71">
        <v>-4.6612852728606579E-3</v>
      </c>
      <c r="AF71">
        <v>-7.506860788870684E-4</v>
      </c>
      <c r="AG71">
        <v>1.2287317385842151E-2</v>
      </c>
      <c r="AH71">
        <v>3.8790770441702684E-3</v>
      </c>
      <c r="AI71">
        <v>-9.4234234577899711E-3</v>
      </c>
      <c r="AJ71">
        <f>RESULTADOS_R!$T$39+(RESULTADOS_R!$T$40*AE70)+(RESULTADOS_R!$T$41*AE69)+(RESULTADOS_R!$T$42*AE68)+(RESULTADOS_R!$T$43*AE67)</f>
        <v>-2.401626985674709E-3</v>
      </c>
      <c r="AK71">
        <f t="shared" ref="AK71:AK126" si="12">AE71-AJ71</f>
        <v>-2.259658287185949E-3</v>
      </c>
      <c r="AL71" s="3"/>
      <c r="AM71" t="s">
        <v>133</v>
      </c>
      <c r="AN71" t="s">
        <v>281</v>
      </c>
      <c r="AO71">
        <v>-5.1638199514139936E-3</v>
      </c>
      <c r="AP71">
        <v>-5.0304409174031133E-3</v>
      </c>
      <c r="AQ71">
        <v>1.8423347417442025E-2</v>
      </c>
      <c r="AR71">
        <v>5.653137120319696E-3</v>
      </c>
      <c r="AS71">
        <v>-1.7384508221594052E-2</v>
      </c>
      <c r="AT71">
        <f>RESULTADOS_R!$T$44+(RESULTADOS_R!$T$45*AO70)+(RESULTADOS_R!$T$46*AO69)+(RESULTADOS_R!$T$47*AO68)+(RESULTADOS_R!$T$48*AO67)</f>
        <v>-4.2658850108282225E-3</v>
      </c>
      <c r="AU71">
        <f t="shared" ref="AU71:AU126" si="13">AO71-AT71</f>
        <v>-8.9793494058577113E-4</v>
      </c>
      <c r="AV71" s="3"/>
      <c r="AW71" t="s">
        <v>133</v>
      </c>
      <c r="AX71" t="s">
        <v>281</v>
      </c>
      <c r="AY71">
        <v>-1.4499057586655443E-4</v>
      </c>
      <c r="AZ71">
        <f>RESULTADOS_R!$T$49</f>
        <v>3.5589999999999998E-4</v>
      </c>
      <c r="BA71">
        <f t="shared" si="10"/>
        <v>-5.0089057586655446E-4</v>
      </c>
    </row>
    <row r="72" spans="1:53" x14ac:dyDescent="0.25">
      <c r="A72" t="s">
        <v>133</v>
      </c>
      <c r="B72" t="s">
        <v>282</v>
      </c>
      <c r="C72">
        <v>1.7619689433706731E-2</v>
      </c>
      <c r="D72">
        <f>RESULTADOS_R!$T$31</f>
        <v>2.8909999999999998E-4</v>
      </c>
      <c r="E72">
        <f t="shared" si="7"/>
        <v>1.7330589433706731E-2</v>
      </c>
      <c r="F72" s="3"/>
      <c r="G72" t="s">
        <v>133</v>
      </c>
      <c r="H72" t="s">
        <v>282</v>
      </c>
      <c r="I72">
        <v>-5.8421454018942748E-4</v>
      </c>
      <c r="J72">
        <v>2.336448608759212E-4</v>
      </c>
      <c r="K72">
        <v>-4.6723514458231892E-4</v>
      </c>
      <c r="L72">
        <v>5.8407804942977887E-4</v>
      </c>
      <c r="M72">
        <v>3.5061065046821185E-4</v>
      </c>
      <c r="N72">
        <f>RESULTADOS_R!$T$32+(RESULTADOS_R!$T$33*I71)+(RESULTADOS_R!$T$34*I70)+(RESULTADOS_R!$T$35*I69)+(RESULTADOS_R!$T$36*I68)</f>
        <v>-3.8333496319579823E-4</v>
      </c>
      <c r="O72">
        <f t="shared" si="11"/>
        <v>-2.0087957699362925E-4</v>
      </c>
      <c r="P72" s="3"/>
      <c r="Q72" t="s">
        <v>133</v>
      </c>
      <c r="R72" t="s">
        <v>282</v>
      </c>
      <c r="S72">
        <v>4.2928776114053067E-2</v>
      </c>
      <c r="T72">
        <f>RESULTADOS_R!$T$37</f>
        <v>-1.944E-3</v>
      </c>
      <c r="U72">
        <f t="shared" si="8"/>
        <v>4.4872776114053069E-2</v>
      </c>
      <c r="V72" s="3"/>
      <c r="W72" t="s">
        <v>133</v>
      </c>
      <c r="X72" t="s">
        <v>282</v>
      </c>
      <c r="Y72">
        <v>2.1729386936252568E-2</v>
      </c>
      <c r="Z72">
        <f>RESULTADOS_R!$T$38</f>
        <v>-1.799E-3</v>
      </c>
      <c r="AA72">
        <f t="shared" si="9"/>
        <v>2.3528386936252567E-2</v>
      </c>
      <c r="AB72" s="3"/>
      <c r="AC72" t="s">
        <v>133</v>
      </c>
      <c r="AD72" t="s">
        <v>282</v>
      </c>
      <c r="AE72">
        <v>-5.366606421147186E-4</v>
      </c>
      <c r="AF72">
        <v>-4.6612852728606579E-3</v>
      </c>
      <c r="AG72">
        <v>-7.506860788870684E-4</v>
      </c>
      <c r="AH72">
        <v>1.2287317385842151E-2</v>
      </c>
      <c r="AI72">
        <v>3.8790770441702684E-3</v>
      </c>
      <c r="AJ72">
        <f>RESULTADOS_R!$T$39+(RESULTADOS_R!$T$40*AE71)+(RESULTADOS_R!$T$41*AE70)+(RESULTADOS_R!$T$42*AE69)+(RESULTADOS_R!$T$43*AE68)</f>
        <v>2.2024371104926256E-4</v>
      </c>
      <c r="AK72">
        <f t="shared" si="12"/>
        <v>-7.5690435316398122E-4</v>
      </c>
      <c r="AL72" s="3"/>
      <c r="AM72" t="s">
        <v>133</v>
      </c>
      <c r="AN72" t="s">
        <v>282</v>
      </c>
      <c r="AO72">
        <v>1.1529077529744301E-2</v>
      </c>
      <c r="AP72">
        <v>-5.1638199514139936E-3</v>
      </c>
      <c r="AQ72">
        <v>-5.0304409174031133E-3</v>
      </c>
      <c r="AR72">
        <v>1.8423347417442025E-2</v>
      </c>
      <c r="AS72">
        <v>5.653137120319696E-3</v>
      </c>
      <c r="AT72">
        <f>RESULTADOS_R!$T$44+(RESULTADOS_R!$T$45*AO71)+(RESULTADOS_R!$T$46*AO70)+(RESULTADOS_R!$T$47*AO69)+(RESULTADOS_R!$T$48*AO68)</f>
        <v>3.7627247018643699E-3</v>
      </c>
      <c r="AU72">
        <f t="shared" si="13"/>
        <v>7.7663528278799311E-3</v>
      </c>
      <c r="AV72" s="3"/>
      <c r="AW72" t="s">
        <v>133</v>
      </c>
      <c r="AX72" t="s">
        <v>282</v>
      </c>
      <c r="AY72">
        <v>-6.2162640184098682E-4</v>
      </c>
      <c r="AZ72">
        <f>RESULTADOS_R!$T$49</f>
        <v>3.5589999999999998E-4</v>
      </c>
      <c r="BA72">
        <f t="shared" si="10"/>
        <v>-9.7752640184098675E-4</v>
      </c>
    </row>
    <row r="73" spans="1:53" x14ac:dyDescent="0.25">
      <c r="A73" t="s">
        <v>133</v>
      </c>
      <c r="B73" t="s">
        <v>283</v>
      </c>
      <c r="C73">
        <v>1.0143680890162198E-2</v>
      </c>
      <c r="D73">
        <f>RESULTADOS_R!$T$31</f>
        <v>2.8909999999999998E-4</v>
      </c>
      <c r="E73">
        <f t="shared" si="7"/>
        <v>9.8545808901621974E-3</v>
      </c>
      <c r="F73" s="3"/>
      <c r="G73" t="s">
        <v>133</v>
      </c>
      <c r="H73" t="s">
        <v>283</v>
      </c>
      <c r="I73">
        <v>-1.1688387600245239E-4</v>
      </c>
      <c r="J73">
        <v>-5.8421454018942748E-4</v>
      </c>
      <c r="K73">
        <v>2.336448608759212E-4</v>
      </c>
      <c r="L73">
        <v>-4.6723514458231892E-4</v>
      </c>
      <c r="M73">
        <v>5.8407804942977887E-4</v>
      </c>
      <c r="N73">
        <f>RESULTADOS_R!$T$32+(RESULTADOS_R!$T$33*I72)+(RESULTADOS_R!$T$34*I71)+(RESULTADOS_R!$T$35*I70)+(RESULTADOS_R!$T$36*I69)</f>
        <v>-4.1457373272253667E-4</v>
      </c>
      <c r="O73">
        <f t="shared" si="11"/>
        <v>2.9768985672008427E-4</v>
      </c>
      <c r="P73" s="3"/>
      <c r="Q73" t="s">
        <v>133</v>
      </c>
      <c r="R73" t="s">
        <v>283</v>
      </c>
      <c r="S73">
        <v>-6.3158890726518644E-3</v>
      </c>
      <c r="T73">
        <f>RESULTADOS_R!$T$37</f>
        <v>-1.944E-3</v>
      </c>
      <c r="U73">
        <f t="shared" si="8"/>
        <v>-4.371889072651864E-3</v>
      </c>
      <c r="V73" s="3"/>
      <c r="W73" t="s">
        <v>133</v>
      </c>
      <c r="X73" t="s">
        <v>283</v>
      </c>
      <c r="Y73">
        <v>-9.5373865183826408E-3</v>
      </c>
      <c r="Z73">
        <f>RESULTADOS_R!$T$38</f>
        <v>-1.799E-3</v>
      </c>
      <c r="AA73">
        <f t="shared" si="9"/>
        <v>-7.7383865183826405E-3</v>
      </c>
      <c r="AB73" s="3"/>
      <c r="AC73" t="s">
        <v>133</v>
      </c>
      <c r="AD73" t="s">
        <v>283</v>
      </c>
      <c r="AE73">
        <v>8.3747733171048062E-3</v>
      </c>
      <c r="AF73">
        <v>-5.366606421147186E-4</v>
      </c>
      <c r="AG73">
        <v>-4.6612852728606579E-3</v>
      </c>
      <c r="AH73">
        <v>-7.506860788870684E-4</v>
      </c>
      <c r="AI73">
        <v>1.2287317385842151E-2</v>
      </c>
      <c r="AJ73">
        <f>RESULTADOS_R!$T$39+(RESULTADOS_R!$T$40*AE72)+(RESULTADOS_R!$T$41*AE71)+(RESULTADOS_R!$T$42*AE70)+(RESULTADOS_R!$T$43*AE69)</f>
        <v>1.5092695635308541E-3</v>
      </c>
      <c r="AK73">
        <f t="shared" si="12"/>
        <v>6.8655037535739517E-3</v>
      </c>
      <c r="AL73" s="3"/>
      <c r="AM73" t="s">
        <v>133</v>
      </c>
      <c r="AN73" t="s">
        <v>283</v>
      </c>
      <c r="AO73">
        <v>1.2491684149817252E-2</v>
      </c>
      <c r="AP73">
        <v>1.1529077529744301E-2</v>
      </c>
      <c r="AQ73">
        <v>-5.1638199514139936E-3</v>
      </c>
      <c r="AR73">
        <v>-5.0304409174031133E-3</v>
      </c>
      <c r="AS73">
        <v>1.8423347417442025E-2</v>
      </c>
      <c r="AT73">
        <f>RESULTADOS_R!$T$44+(RESULTADOS_R!$T$45*AO72)+(RESULTADOS_R!$T$46*AO71)+(RESULTADOS_R!$T$47*AO70)+(RESULTADOS_R!$T$48*AO69)</f>
        <v>2.7655843333479293E-3</v>
      </c>
      <c r="AU73">
        <f t="shared" si="13"/>
        <v>9.7260998164693229E-3</v>
      </c>
      <c r="AV73" s="3"/>
      <c r="AW73" t="s">
        <v>133</v>
      </c>
      <c r="AX73" t="s">
        <v>283</v>
      </c>
      <c r="AY73">
        <v>-4.310194815117227E-3</v>
      </c>
      <c r="AZ73">
        <f>RESULTADOS_R!$T$49</f>
        <v>3.5589999999999998E-4</v>
      </c>
      <c r="BA73">
        <f t="shared" si="10"/>
        <v>-4.6660948151172272E-3</v>
      </c>
    </row>
    <row r="74" spans="1:53" x14ac:dyDescent="0.25">
      <c r="A74" t="s">
        <v>133</v>
      </c>
      <c r="B74" t="s">
        <v>284</v>
      </c>
      <c r="C74">
        <v>6.1980161057526928E-3</v>
      </c>
      <c r="D74">
        <f>RESULTADOS_R!$T$31</f>
        <v>2.8909999999999998E-4</v>
      </c>
      <c r="E74">
        <f t="shared" si="7"/>
        <v>5.9089161057526932E-3</v>
      </c>
      <c r="F74" s="3"/>
      <c r="G74" t="s">
        <v>133</v>
      </c>
      <c r="H74" t="s">
        <v>284</v>
      </c>
      <c r="I74">
        <v>-1.1689753943981361E-4</v>
      </c>
      <c r="J74">
        <v>-1.1688387600245239E-4</v>
      </c>
      <c r="K74">
        <v>-5.8421454018942748E-4</v>
      </c>
      <c r="L74">
        <v>2.336448608759212E-4</v>
      </c>
      <c r="M74">
        <v>-4.6723514458231892E-4</v>
      </c>
      <c r="N74">
        <f>RESULTADOS_R!$T$32+(RESULTADOS_R!$T$33*I73)+(RESULTADOS_R!$T$34*I72)+(RESULTADOS_R!$T$35*I71)+(RESULTADOS_R!$T$36*I70)</f>
        <v>-1.5697252502132981E-5</v>
      </c>
      <c r="O74">
        <f t="shared" si="11"/>
        <v>-1.0120028693768063E-4</v>
      </c>
      <c r="P74" s="3"/>
      <c r="Q74" t="s">
        <v>133</v>
      </c>
      <c r="R74" t="s">
        <v>284</v>
      </c>
      <c r="S74">
        <v>4.3381958813853573E-2</v>
      </c>
      <c r="T74">
        <f>RESULTADOS_R!$T$37</f>
        <v>-1.944E-3</v>
      </c>
      <c r="U74">
        <f t="shared" si="8"/>
        <v>4.5325958813853574E-2</v>
      </c>
      <c r="V74" s="3"/>
      <c r="W74" t="s">
        <v>133</v>
      </c>
      <c r="X74" t="s">
        <v>284</v>
      </c>
      <c r="Y74">
        <v>3.1130867746884151E-2</v>
      </c>
      <c r="Z74">
        <f>RESULTADOS_R!$T$38</f>
        <v>-1.799E-3</v>
      </c>
      <c r="AA74">
        <f t="shared" si="9"/>
        <v>3.2929867746884153E-2</v>
      </c>
      <c r="AB74" s="3"/>
      <c r="AC74" t="s">
        <v>133</v>
      </c>
      <c r="AD74" t="s">
        <v>284</v>
      </c>
      <c r="AE74">
        <v>2.4977098862498095E-3</v>
      </c>
      <c r="AF74">
        <v>8.3747733171048062E-3</v>
      </c>
      <c r="AG74">
        <v>-5.366606421147186E-4</v>
      </c>
      <c r="AH74">
        <v>-4.6612852728606579E-3</v>
      </c>
      <c r="AI74">
        <v>-7.506860788870684E-4</v>
      </c>
      <c r="AJ74">
        <f>RESULTADOS_R!$T$39+(RESULTADOS_R!$T$40*AE73)+(RESULTADOS_R!$T$41*AE72)+(RESULTADOS_R!$T$42*AE71)+(RESULTADOS_R!$T$43*AE70)</f>
        <v>1.0336821837128921E-3</v>
      </c>
      <c r="AK74">
        <f t="shared" si="12"/>
        <v>1.4640277025369174E-3</v>
      </c>
      <c r="AL74" s="3"/>
      <c r="AM74" t="s">
        <v>133</v>
      </c>
      <c r="AN74" t="s">
        <v>284</v>
      </c>
      <c r="AO74">
        <v>5.1376838434339257E-3</v>
      </c>
      <c r="AP74">
        <v>1.2491684149817252E-2</v>
      </c>
      <c r="AQ74">
        <v>1.1529077529744301E-2</v>
      </c>
      <c r="AR74">
        <v>-5.1638199514139936E-3</v>
      </c>
      <c r="AS74">
        <v>-5.0304409174031133E-3</v>
      </c>
      <c r="AT74">
        <f>RESULTADOS_R!$T$44+(RESULTADOS_R!$T$45*AO73)+(RESULTADOS_R!$T$46*AO72)+(RESULTADOS_R!$T$47*AO71)+(RESULTADOS_R!$T$48*AO70)</f>
        <v>-1.8064844313155277E-4</v>
      </c>
      <c r="AU74">
        <f t="shared" si="13"/>
        <v>5.3183322865654782E-3</v>
      </c>
      <c r="AV74" s="3"/>
      <c r="AW74" t="s">
        <v>133</v>
      </c>
      <c r="AX74" t="s">
        <v>284</v>
      </c>
      <c r="AY74">
        <v>-5.9345638015449623E-4</v>
      </c>
      <c r="AZ74">
        <f>RESULTADOS_R!$T$49</f>
        <v>3.5589999999999998E-4</v>
      </c>
      <c r="BA74">
        <f t="shared" si="10"/>
        <v>-9.4935638015449615E-4</v>
      </c>
    </row>
    <row r="75" spans="1:53" x14ac:dyDescent="0.25">
      <c r="A75" t="s">
        <v>133</v>
      </c>
      <c r="B75" t="s">
        <v>285</v>
      </c>
      <c r="C75">
        <v>1.3744043184784961E-2</v>
      </c>
      <c r="D75">
        <f>RESULTADOS_R!$T$31</f>
        <v>2.8909999999999998E-4</v>
      </c>
      <c r="E75">
        <f t="shared" si="7"/>
        <v>1.345494318478496E-2</v>
      </c>
      <c r="F75" s="3"/>
      <c r="G75" t="s">
        <v>133</v>
      </c>
      <c r="H75" t="s">
        <v>285</v>
      </c>
      <c r="I75">
        <v>-3.5077463089865183E-4</v>
      </c>
      <c r="J75">
        <v>-1.1689753943981361E-4</v>
      </c>
      <c r="K75">
        <v>-1.1688387600245239E-4</v>
      </c>
      <c r="L75">
        <v>-5.8421454018942748E-4</v>
      </c>
      <c r="M75">
        <v>2.336448608759212E-4</v>
      </c>
      <c r="N75">
        <f>RESULTADOS_R!$T$32+(RESULTADOS_R!$T$33*I74)+(RESULTADOS_R!$T$34*I73)+(RESULTADOS_R!$T$35*I72)+(RESULTADOS_R!$T$36*I71)</f>
        <v>-2.7272976739629547E-4</v>
      </c>
      <c r="O75">
        <f t="shared" si="11"/>
        <v>-7.8044863502356357E-5</v>
      </c>
      <c r="P75" s="3"/>
      <c r="Q75" t="s">
        <v>133</v>
      </c>
      <c r="R75" t="s">
        <v>285</v>
      </c>
      <c r="S75">
        <v>-2.8418936673122361E-3</v>
      </c>
      <c r="T75">
        <f>RESULTADOS_R!$T$37</f>
        <v>-1.944E-3</v>
      </c>
      <c r="U75">
        <f t="shared" si="8"/>
        <v>-8.9789366731223615E-4</v>
      </c>
      <c r="V75" s="3"/>
      <c r="W75" t="s">
        <v>133</v>
      </c>
      <c r="X75" t="s">
        <v>285</v>
      </c>
      <c r="Y75">
        <v>-1.7302567418616983E-2</v>
      </c>
      <c r="Z75">
        <f>RESULTADOS_R!$T$38</f>
        <v>-1.799E-3</v>
      </c>
      <c r="AA75">
        <f t="shared" si="9"/>
        <v>-1.5503567418616982E-2</v>
      </c>
      <c r="AB75" s="3"/>
      <c r="AC75" t="s">
        <v>133</v>
      </c>
      <c r="AD75" t="s">
        <v>285</v>
      </c>
      <c r="AE75">
        <v>1.65247729524061E-3</v>
      </c>
      <c r="AF75">
        <v>2.4977098862498095E-3</v>
      </c>
      <c r="AG75">
        <v>8.3747733171048062E-3</v>
      </c>
      <c r="AH75">
        <v>-5.366606421147186E-4</v>
      </c>
      <c r="AI75">
        <v>-4.6612852728606579E-3</v>
      </c>
      <c r="AJ75">
        <f>RESULTADOS_R!$T$39+(RESULTADOS_R!$T$40*AE74)+(RESULTADOS_R!$T$41*AE73)+(RESULTADOS_R!$T$42*AE72)+(RESULTADOS_R!$T$43*AE71)</f>
        <v>-1.2608536365166577E-3</v>
      </c>
      <c r="AK75">
        <f t="shared" si="12"/>
        <v>2.9133309317572677E-3</v>
      </c>
      <c r="AL75" s="3"/>
      <c r="AM75" t="s">
        <v>133</v>
      </c>
      <c r="AN75" t="s">
        <v>285</v>
      </c>
      <c r="AO75">
        <v>6.5317018632150593E-3</v>
      </c>
      <c r="AP75">
        <v>5.1376838434339257E-3</v>
      </c>
      <c r="AQ75">
        <v>1.2491684149817252E-2</v>
      </c>
      <c r="AR75">
        <v>1.1529077529744301E-2</v>
      </c>
      <c r="AS75">
        <v>-5.1638199514139936E-3</v>
      </c>
      <c r="AT75">
        <f>RESULTADOS_R!$T$44+(RESULTADOS_R!$T$45*AO74)+(RESULTADOS_R!$T$46*AO73)+(RESULTADOS_R!$T$47*AO72)+(RESULTADOS_R!$T$48*AO71)</f>
        <v>1.2228641260036918E-3</v>
      </c>
      <c r="AU75">
        <f t="shared" si="13"/>
        <v>5.3088377372113678E-3</v>
      </c>
      <c r="AV75" s="3"/>
      <c r="AW75" t="s">
        <v>133</v>
      </c>
      <c r="AX75" t="s">
        <v>285</v>
      </c>
      <c r="AY75">
        <v>7.703839808013243E-4</v>
      </c>
      <c r="AZ75">
        <f>RESULTADOS_R!$T$49</f>
        <v>3.5589999999999998E-4</v>
      </c>
      <c r="BA75">
        <f t="shared" si="10"/>
        <v>4.1448398080132432E-4</v>
      </c>
    </row>
    <row r="76" spans="1:53" x14ac:dyDescent="0.25">
      <c r="A76" t="s">
        <v>133</v>
      </c>
      <c r="B76" t="s">
        <v>286</v>
      </c>
      <c r="C76">
        <v>-1.0023388744306253E-3</v>
      </c>
      <c r="D76">
        <f>RESULTADOS_R!$T$31</f>
        <v>2.8909999999999998E-4</v>
      </c>
      <c r="E76">
        <f t="shared" si="7"/>
        <v>-1.2914388744306254E-3</v>
      </c>
      <c r="F76" s="3"/>
      <c r="G76" t="s">
        <v>133</v>
      </c>
      <c r="H76" t="s">
        <v>286</v>
      </c>
      <c r="I76">
        <v>0</v>
      </c>
      <c r="J76">
        <v>-3.5077463089865183E-4</v>
      </c>
      <c r="K76">
        <v>-1.1689753943981361E-4</v>
      </c>
      <c r="L76">
        <v>-1.1688387600245239E-4</v>
      </c>
      <c r="M76">
        <v>-5.8421454018942748E-4</v>
      </c>
      <c r="N76">
        <f>RESULTADOS_R!$T$32+(RESULTADOS_R!$T$33*I75)+(RESULTADOS_R!$T$34*I74)+(RESULTADOS_R!$T$35*I73)+(RESULTADOS_R!$T$36*I72)</f>
        <v>7.3295801624369012E-6</v>
      </c>
      <c r="O76">
        <f t="shared" si="11"/>
        <v>-7.3295801624369012E-6</v>
      </c>
      <c r="P76" s="3"/>
      <c r="Q76" t="s">
        <v>133</v>
      </c>
      <c r="R76" t="s">
        <v>286</v>
      </c>
      <c r="S76">
        <v>-6.2151457539502096E-2</v>
      </c>
      <c r="T76">
        <f>RESULTADOS_R!$T$37</f>
        <v>-1.944E-3</v>
      </c>
      <c r="U76">
        <f t="shared" si="8"/>
        <v>-6.0207457539502095E-2</v>
      </c>
      <c r="V76" s="3"/>
      <c r="W76" t="s">
        <v>133</v>
      </c>
      <c r="X76" t="s">
        <v>286</v>
      </c>
      <c r="Y76">
        <v>-6.0401439222271598E-2</v>
      </c>
      <c r="Z76">
        <f>RESULTADOS_R!$T$38</f>
        <v>-1.799E-3</v>
      </c>
      <c r="AA76">
        <f t="shared" si="9"/>
        <v>-5.8602439222271596E-2</v>
      </c>
      <c r="AB76" s="3"/>
      <c r="AC76" t="s">
        <v>133</v>
      </c>
      <c r="AD76" t="s">
        <v>286</v>
      </c>
      <c r="AE76">
        <v>-3.0584023375211529E-3</v>
      </c>
      <c r="AF76">
        <v>1.65247729524061E-3</v>
      </c>
      <c r="AG76">
        <v>2.4977098862498095E-3</v>
      </c>
      <c r="AH76">
        <v>8.3747733171048062E-3</v>
      </c>
      <c r="AI76">
        <v>-5.366606421147186E-4</v>
      </c>
      <c r="AJ76">
        <f>RESULTADOS_R!$T$39+(RESULTADOS_R!$T$40*AE75)+(RESULTADOS_R!$T$41*AE74)+(RESULTADOS_R!$T$42*AE73)+(RESULTADOS_R!$T$43*AE72)</f>
        <v>-4.3886768185110472E-5</v>
      </c>
      <c r="AK76">
        <f t="shared" si="12"/>
        <v>-3.0145155693360424E-3</v>
      </c>
      <c r="AL76" s="3"/>
      <c r="AM76" t="s">
        <v>133</v>
      </c>
      <c r="AN76" t="s">
        <v>286</v>
      </c>
      <c r="AO76">
        <v>-2.0681092867515993E-3</v>
      </c>
      <c r="AP76">
        <v>6.5317018632150593E-3</v>
      </c>
      <c r="AQ76">
        <v>5.1376838434339257E-3</v>
      </c>
      <c r="AR76">
        <v>1.2491684149817252E-2</v>
      </c>
      <c r="AS76">
        <v>1.1529077529744301E-2</v>
      </c>
      <c r="AT76">
        <f>RESULTADOS_R!$T$44+(RESULTADOS_R!$T$45*AO75)+(RESULTADOS_R!$T$46*AO74)+(RESULTADOS_R!$T$47*AO73)+(RESULTADOS_R!$T$48*AO72)</f>
        <v>2.9574385445566825E-3</v>
      </c>
      <c r="AU76">
        <f t="shared" si="13"/>
        <v>-5.0255478313082818E-3</v>
      </c>
      <c r="AV76" s="3"/>
      <c r="AW76" t="s">
        <v>133</v>
      </c>
      <c r="AX76" t="s">
        <v>286</v>
      </c>
      <c r="AY76">
        <v>1.1336749439566074E-3</v>
      </c>
      <c r="AZ76">
        <f>RESULTADOS_R!$T$49</f>
        <v>3.5589999999999998E-4</v>
      </c>
      <c r="BA76">
        <f t="shared" si="10"/>
        <v>7.777749439566075E-4</v>
      </c>
    </row>
    <row r="77" spans="1:53" x14ac:dyDescent="0.25">
      <c r="A77" t="s">
        <v>133</v>
      </c>
      <c r="B77" t="s">
        <v>287</v>
      </c>
      <c r="C77">
        <v>1.3988206258137206E-3</v>
      </c>
      <c r="D77">
        <f>RESULTADOS_R!$T$31</f>
        <v>2.8909999999999998E-4</v>
      </c>
      <c r="E77">
        <f t="shared" si="7"/>
        <v>1.1097206258137205E-3</v>
      </c>
      <c r="F77" s="3"/>
      <c r="G77" t="s">
        <v>133</v>
      </c>
      <c r="H77" t="s">
        <v>287</v>
      </c>
      <c r="I77">
        <v>-1.1695222514941287E-4</v>
      </c>
      <c r="J77">
        <v>0</v>
      </c>
      <c r="K77">
        <v>-3.5077463089865183E-4</v>
      </c>
      <c r="L77">
        <v>-1.1689753943981361E-4</v>
      </c>
      <c r="M77">
        <v>-1.1688387600245239E-4</v>
      </c>
      <c r="N77">
        <f>RESULTADOS_R!$T$32+(RESULTADOS_R!$T$33*I76)+(RESULTADOS_R!$T$34*I75)+(RESULTADOS_R!$T$35*I74)+(RESULTADOS_R!$T$36*I73)</f>
        <v>-1.5900762331092739E-4</v>
      </c>
      <c r="O77">
        <f t="shared" si="11"/>
        <v>4.2055398161514518E-5</v>
      </c>
      <c r="P77" s="3"/>
      <c r="Q77" t="s">
        <v>133</v>
      </c>
      <c r="R77" t="s">
        <v>287</v>
      </c>
      <c r="S77">
        <v>-2.4336007053514502E-2</v>
      </c>
      <c r="T77">
        <f>RESULTADOS_R!$T$37</f>
        <v>-1.944E-3</v>
      </c>
      <c r="U77">
        <f t="shared" si="8"/>
        <v>-2.23920070535145E-2</v>
      </c>
      <c r="V77" s="3"/>
      <c r="W77" t="s">
        <v>133</v>
      </c>
      <c r="X77" t="s">
        <v>287</v>
      </c>
      <c r="Y77">
        <v>-4.6407993526963488E-2</v>
      </c>
      <c r="Z77">
        <f>RESULTADOS_R!$T$38</f>
        <v>-1.799E-3</v>
      </c>
      <c r="AA77">
        <f t="shared" si="9"/>
        <v>-4.4608993526963486E-2</v>
      </c>
      <c r="AB77" s="3"/>
      <c r="AC77" t="s">
        <v>133</v>
      </c>
      <c r="AD77" t="s">
        <v>287</v>
      </c>
      <c r="AE77">
        <v>-9.4762311644031223E-4</v>
      </c>
      <c r="AF77">
        <v>-3.0584023375211529E-3</v>
      </c>
      <c r="AG77">
        <v>1.65247729524061E-3</v>
      </c>
      <c r="AH77">
        <v>2.4977098862498095E-3</v>
      </c>
      <c r="AI77">
        <v>8.3747733171048062E-3</v>
      </c>
      <c r="AJ77">
        <f>RESULTADOS_R!$T$39+(RESULTADOS_R!$T$40*AE76)+(RESULTADOS_R!$T$41*AE75)+(RESULTADOS_R!$T$42*AE74)+(RESULTADOS_R!$T$43*AE73)</f>
        <v>-1.7218282654562648E-5</v>
      </c>
      <c r="AK77">
        <f t="shared" si="12"/>
        <v>-9.3040483378574955E-4</v>
      </c>
      <c r="AL77" s="3"/>
      <c r="AM77" t="s">
        <v>133</v>
      </c>
      <c r="AN77" t="s">
        <v>287</v>
      </c>
      <c r="AO77">
        <v>-8.0918355477809893E-3</v>
      </c>
      <c r="AP77">
        <v>-2.0681092867515993E-3</v>
      </c>
      <c r="AQ77">
        <v>6.5317018632150593E-3</v>
      </c>
      <c r="AR77">
        <v>5.1376838434339257E-3</v>
      </c>
      <c r="AS77">
        <v>1.2491684149817252E-2</v>
      </c>
      <c r="AT77">
        <f>RESULTADOS_R!$T$44+(RESULTADOS_R!$T$45*AO76)+(RESULTADOS_R!$T$46*AO75)+(RESULTADOS_R!$T$47*AO74)+(RESULTADOS_R!$T$48*AO73)</f>
        <v>-1.8858194746538769E-3</v>
      </c>
      <c r="AU77">
        <f t="shared" si="13"/>
        <v>-6.206016073127112E-3</v>
      </c>
      <c r="AV77" s="3"/>
      <c r="AW77" t="s">
        <v>133</v>
      </c>
      <c r="AX77" t="s">
        <v>287</v>
      </c>
      <c r="AY77">
        <v>-2.8418129685133693E-3</v>
      </c>
      <c r="AZ77">
        <f>RESULTADOS_R!$T$49</f>
        <v>3.5589999999999998E-4</v>
      </c>
      <c r="BA77">
        <f t="shared" si="10"/>
        <v>-3.1977129685133695E-3</v>
      </c>
    </row>
    <row r="78" spans="1:53" x14ac:dyDescent="0.25">
      <c r="A78" t="s">
        <v>133</v>
      </c>
      <c r="B78" t="s">
        <v>288</v>
      </c>
      <c r="C78">
        <v>-3.0088407329334397E-3</v>
      </c>
      <c r="D78">
        <f>RESULTADOS_R!$T$31</f>
        <v>2.8909999999999998E-4</v>
      </c>
      <c r="E78">
        <f t="shared" si="7"/>
        <v>-3.2979407329334397E-3</v>
      </c>
      <c r="F78" s="3"/>
      <c r="G78" t="s">
        <v>133</v>
      </c>
      <c r="H78" t="s">
        <v>288</v>
      </c>
      <c r="I78">
        <v>5.8462439548787883E-4</v>
      </c>
      <c r="J78">
        <v>-1.1695222514941287E-4</v>
      </c>
      <c r="K78">
        <v>0</v>
      </c>
      <c r="L78">
        <v>-3.5077463089865183E-4</v>
      </c>
      <c r="M78">
        <v>-1.1689753943981361E-4</v>
      </c>
      <c r="N78">
        <f>RESULTADOS_R!$T$32+(RESULTADOS_R!$T$33*I77)+(RESULTADOS_R!$T$34*I76)+(RESULTADOS_R!$T$35*I75)+(RESULTADOS_R!$T$36*I74)</f>
        <v>-1.8068463390426244E-4</v>
      </c>
      <c r="O78">
        <f t="shared" si="11"/>
        <v>7.6530902939214132E-4</v>
      </c>
      <c r="P78" s="3"/>
      <c r="Q78" t="s">
        <v>133</v>
      </c>
      <c r="R78" t="s">
        <v>288</v>
      </c>
      <c r="S78">
        <v>1.5667766214394967E-2</v>
      </c>
      <c r="T78">
        <f>RESULTADOS_R!$T$37</f>
        <v>-1.944E-3</v>
      </c>
      <c r="U78">
        <f t="shared" si="8"/>
        <v>1.7611766214394968E-2</v>
      </c>
      <c r="V78" s="3"/>
      <c r="W78" t="s">
        <v>133</v>
      </c>
      <c r="X78" t="s">
        <v>288</v>
      </c>
      <c r="Y78">
        <v>2.3241588641372924E-2</v>
      </c>
      <c r="Z78">
        <f>RESULTADOS_R!$T$38</f>
        <v>-1.799E-3</v>
      </c>
      <c r="AA78">
        <f t="shared" si="9"/>
        <v>2.5040588641372923E-2</v>
      </c>
      <c r="AB78" s="3"/>
      <c r="AC78" t="s">
        <v>133</v>
      </c>
      <c r="AD78" t="s">
        <v>288</v>
      </c>
      <c r="AE78">
        <v>6.2730435323110866E-3</v>
      </c>
      <c r="AF78">
        <v>-9.4762311644031223E-4</v>
      </c>
      <c r="AG78">
        <v>-3.0584023375211529E-3</v>
      </c>
      <c r="AH78">
        <v>1.65247729524061E-3</v>
      </c>
      <c r="AI78">
        <v>2.4977098862498095E-3</v>
      </c>
      <c r="AJ78">
        <f>RESULTADOS_R!$T$39+(RESULTADOS_R!$T$40*AE77)+(RESULTADOS_R!$T$41*AE76)+(RESULTADOS_R!$T$42*AE75)+(RESULTADOS_R!$T$43*AE74)</f>
        <v>8.9049508566548896E-4</v>
      </c>
      <c r="AK78">
        <f t="shared" si="12"/>
        <v>5.3825484466455973E-3</v>
      </c>
      <c r="AL78" s="3"/>
      <c r="AM78" t="s">
        <v>133</v>
      </c>
      <c r="AN78" t="s">
        <v>288</v>
      </c>
      <c r="AO78">
        <v>9.7996368758599631E-3</v>
      </c>
      <c r="AP78">
        <v>-8.0918355477809893E-3</v>
      </c>
      <c r="AQ78">
        <v>-2.0681092867515993E-3</v>
      </c>
      <c r="AR78">
        <v>6.5317018632150593E-3</v>
      </c>
      <c r="AS78">
        <v>5.1376838434339257E-3</v>
      </c>
      <c r="AT78">
        <f>RESULTADOS_R!$T$44+(RESULTADOS_R!$T$45*AO77)+(RESULTADOS_R!$T$46*AO76)+(RESULTADOS_R!$T$47*AO75)+(RESULTADOS_R!$T$48*AO74)</f>
        <v>-7.2741011711119374E-4</v>
      </c>
      <c r="AU78">
        <f t="shared" si="13"/>
        <v>1.0527046992971157E-2</v>
      </c>
      <c r="AV78" s="3"/>
      <c r="AW78" t="s">
        <v>133</v>
      </c>
      <c r="AX78" t="s">
        <v>288</v>
      </c>
      <c r="AY78">
        <v>4.0646805877062676E-4</v>
      </c>
      <c r="AZ78">
        <f>RESULTADOS_R!$T$49</f>
        <v>3.5589999999999998E-4</v>
      </c>
      <c r="BA78">
        <f t="shared" si="10"/>
        <v>5.0568058770626787E-5</v>
      </c>
    </row>
    <row r="79" spans="1:53" x14ac:dyDescent="0.25">
      <c r="A79" t="s">
        <v>133</v>
      </c>
      <c r="B79" t="s">
        <v>289</v>
      </c>
      <c r="C79">
        <v>-2.6192012794386305E-3</v>
      </c>
      <c r="D79">
        <f>RESULTADOS_R!$T$31</f>
        <v>2.8909999999999998E-4</v>
      </c>
      <c r="E79">
        <f t="shared" si="7"/>
        <v>-2.9083012794386305E-3</v>
      </c>
      <c r="F79" s="3"/>
      <c r="G79" t="s">
        <v>133</v>
      </c>
      <c r="H79" t="s">
        <v>289</v>
      </c>
      <c r="I79">
        <v>-1.1689753943981361E-4</v>
      </c>
      <c r="J79">
        <v>5.8462439548787883E-4</v>
      </c>
      <c r="K79">
        <v>-1.1695222514941287E-4</v>
      </c>
      <c r="L79">
        <v>0</v>
      </c>
      <c r="M79">
        <v>-3.5077463089865183E-4</v>
      </c>
      <c r="N79">
        <f>RESULTADOS_R!$T$32+(RESULTADOS_R!$T$33*I78)+(RESULTADOS_R!$T$34*I77)+(RESULTADOS_R!$T$35*I76)+(RESULTADOS_R!$T$36*I75)</f>
        <v>-1.6941496493784897E-4</v>
      </c>
      <c r="O79">
        <f t="shared" si="11"/>
        <v>5.2517425498035364E-5</v>
      </c>
      <c r="P79" s="3"/>
      <c r="Q79" t="s">
        <v>133</v>
      </c>
      <c r="R79" t="s">
        <v>289</v>
      </c>
      <c r="S79">
        <v>-1.8649173138162129E-2</v>
      </c>
      <c r="T79">
        <f>RESULTADOS_R!$T$37</f>
        <v>-1.944E-3</v>
      </c>
      <c r="U79">
        <f t="shared" si="8"/>
        <v>-1.6705173138162128E-2</v>
      </c>
      <c r="V79" s="3"/>
      <c r="W79" t="s">
        <v>133</v>
      </c>
      <c r="X79" t="s">
        <v>289</v>
      </c>
      <c r="Y79">
        <v>-8.441696896676119E-3</v>
      </c>
      <c r="Z79">
        <f>RESULTADOS_R!$T$38</f>
        <v>-1.799E-3</v>
      </c>
      <c r="AA79">
        <f t="shared" si="9"/>
        <v>-6.6426968966761188E-3</v>
      </c>
      <c r="AB79" s="3"/>
      <c r="AC79" t="s">
        <v>133</v>
      </c>
      <c r="AD79" t="s">
        <v>289</v>
      </c>
      <c r="AE79">
        <v>7.3448208542431451E-3</v>
      </c>
      <c r="AF79">
        <v>6.2730435323110866E-3</v>
      </c>
      <c r="AG79">
        <v>-9.4762311644031223E-4</v>
      </c>
      <c r="AH79">
        <v>-3.0584023375211529E-3</v>
      </c>
      <c r="AI79">
        <v>1.65247729524061E-3</v>
      </c>
      <c r="AJ79">
        <f>RESULTADOS_R!$T$39+(RESULTADOS_R!$T$40*AE78)+(RESULTADOS_R!$T$41*AE77)+(RESULTADOS_R!$T$42*AE76)+(RESULTADOS_R!$T$43*AE75)</f>
        <v>1.0198027199216305E-3</v>
      </c>
      <c r="AK79">
        <f t="shared" si="12"/>
        <v>6.3250181343215148E-3</v>
      </c>
      <c r="AL79" s="3"/>
      <c r="AM79" t="s">
        <v>133</v>
      </c>
      <c r="AN79" t="s">
        <v>289</v>
      </c>
      <c r="AO79">
        <v>1.0203200422282028E-2</v>
      </c>
      <c r="AP79">
        <v>9.7996368758599631E-3</v>
      </c>
      <c r="AQ79">
        <v>-8.0918355477809893E-3</v>
      </c>
      <c r="AR79">
        <v>-2.0681092867515993E-3</v>
      </c>
      <c r="AS79">
        <v>6.5317018632150593E-3</v>
      </c>
      <c r="AT79">
        <f>RESULTADOS_R!$T$44+(RESULTADOS_R!$T$45*AO78)+(RESULTADOS_R!$T$46*AO77)+(RESULTADOS_R!$T$47*AO76)+(RESULTADOS_R!$T$48*AO75)</f>
        <v>4.3549274583182937E-3</v>
      </c>
      <c r="AU79">
        <f t="shared" si="13"/>
        <v>5.8482729639637342E-3</v>
      </c>
      <c r="AV79" s="3"/>
      <c r="AW79" t="s">
        <v>133</v>
      </c>
      <c r="AX79" t="s">
        <v>289</v>
      </c>
      <c r="AY79">
        <v>-3.8629032301717896E-3</v>
      </c>
      <c r="AZ79">
        <f>RESULTADOS_R!$T$49</f>
        <v>3.5589999999999998E-4</v>
      </c>
      <c r="BA79">
        <f t="shared" si="10"/>
        <v>-4.2188032301717898E-3</v>
      </c>
    </row>
    <row r="80" spans="1:53" x14ac:dyDescent="0.25">
      <c r="A80" t="s">
        <v>133</v>
      </c>
      <c r="B80" t="s">
        <v>290</v>
      </c>
      <c r="C80">
        <v>6.3579918868015206E-3</v>
      </c>
      <c r="D80">
        <f>RESULTADOS_R!$T$31</f>
        <v>2.8909999999999998E-4</v>
      </c>
      <c r="E80">
        <f t="shared" si="7"/>
        <v>6.068891886801521E-3</v>
      </c>
      <c r="F80" s="3"/>
      <c r="G80" t="s">
        <v>133</v>
      </c>
      <c r="H80" t="s">
        <v>290</v>
      </c>
      <c r="I80">
        <v>-1.1697275868780125E-3</v>
      </c>
      <c r="J80">
        <v>-1.1689753943981361E-4</v>
      </c>
      <c r="K80">
        <v>5.8462439548787883E-4</v>
      </c>
      <c r="L80">
        <v>-1.1695222514941287E-4</v>
      </c>
      <c r="M80">
        <v>0</v>
      </c>
      <c r="N80">
        <f>RESULTADOS_R!$T$32+(RESULTADOS_R!$T$33*I79)+(RESULTADOS_R!$T$34*I78)+(RESULTADOS_R!$T$35*I77)+(RESULTADOS_R!$T$36*I76)</f>
        <v>-3.2253082966494749E-4</v>
      </c>
      <c r="O80">
        <f t="shared" si="11"/>
        <v>-8.4719675721306497E-4</v>
      </c>
      <c r="P80" s="3"/>
      <c r="Q80" t="s">
        <v>133</v>
      </c>
      <c r="R80" t="s">
        <v>290</v>
      </c>
      <c r="S80">
        <v>3.2700196347626568E-3</v>
      </c>
      <c r="T80">
        <f>RESULTADOS_R!$T$37</f>
        <v>-1.944E-3</v>
      </c>
      <c r="U80">
        <f t="shared" si="8"/>
        <v>5.2140196347626568E-3</v>
      </c>
      <c r="V80" s="3"/>
      <c r="W80" t="s">
        <v>133</v>
      </c>
      <c r="X80" t="s">
        <v>290</v>
      </c>
      <c r="Y80">
        <v>2.1158024412128634E-2</v>
      </c>
      <c r="Z80">
        <f>RESULTADOS_R!$T$38</f>
        <v>-1.799E-3</v>
      </c>
      <c r="AA80">
        <f t="shared" si="9"/>
        <v>2.2957024412128633E-2</v>
      </c>
      <c r="AB80" s="3"/>
      <c r="AC80" t="s">
        <v>133</v>
      </c>
      <c r="AD80" t="s">
        <v>290</v>
      </c>
      <c r="AE80">
        <v>-1.5177022535236404E-2</v>
      </c>
      <c r="AF80">
        <v>7.3448208542431451E-3</v>
      </c>
      <c r="AG80">
        <v>6.2730435323110866E-3</v>
      </c>
      <c r="AH80">
        <v>-9.4762311644031223E-4</v>
      </c>
      <c r="AI80">
        <v>-3.0584023375211529E-3</v>
      </c>
      <c r="AJ80">
        <f>RESULTADOS_R!$T$39+(RESULTADOS_R!$T$40*AE79)+(RESULTADOS_R!$T$41*AE78)+(RESULTADOS_R!$T$42*AE77)+(RESULTADOS_R!$T$43*AE76)</f>
        <v>-4.2171288751289654E-4</v>
      </c>
      <c r="AK80">
        <f t="shared" si="12"/>
        <v>-1.4755309647723508E-2</v>
      </c>
      <c r="AL80" s="3"/>
      <c r="AM80" t="s">
        <v>133</v>
      </c>
      <c r="AN80" t="s">
        <v>290</v>
      </c>
      <c r="AO80">
        <v>-1.7694818869293735E-2</v>
      </c>
      <c r="AP80">
        <v>1.0203200422282028E-2</v>
      </c>
      <c r="AQ80">
        <v>9.7996368758599631E-3</v>
      </c>
      <c r="AR80">
        <v>-8.0918355477809893E-3</v>
      </c>
      <c r="AS80">
        <v>-2.0681092867515993E-3</v>
      </c>
      <c r="AT80">
        <f>RESULTADOS_R!$T$44+(RESULTADOS_R!$T$45*AO79)+(RESULTADOS_R!$T$46*AO78)+(RESULTADOS_R!$T$47*AO77)+(RESULTADOS_R!$T$48*AO76)</f>
        <v>-1.2813007288473696E-3</v>
      </c>
      <c r="AU80">
        <f t="shared" si="13"/>
        <v>-1.6413518140446365E-2</v>
      </c>
      <c r="AV80" s="3"/>
      <c r="AW80" t="s">
        <v>133</v>
      </c>
      <c r="AX80" t="s">
        <v>290</v>
      </c>
      <c r="AY80">
        <v>6.4125843404392738E-3</v>
      </c>
      <c r="AZ80">
        <f>RESULTADOS_R!$T$49</f>
        <v>3.5589999999999998E-4</v>
      </c>
      <c r="BA80">
        <f t="shared" si="10"/>
        <v>6.0566843404392737E-3</v>
      </c>
    </row>
    <row r="81" spans="1:53" x14ac:dyDescent="0.25">
      <c r="A81" t="s">
        <v>133</v>
      </c>
      <c r="B81" t="s">
        <v>291</v>
      </c>
      <c r="C81">
        <v>-6.4650005901371378E-4</v>
      </c>
      <c r="D81">
        <f>RESULTADOS_R!$T$31</f>
        <v>2.8909999999999998E-4</v>
      </c>
      <c r="E81">
        <f t="shared" si="7"/>
        <v>-9.3560005901371381E-4</v>
      </c>
      <c r="F81" s="3"/>
      <c r="G81" t="s">
        <v>133</v>
      </c>
      <c r="H81" t="s">
        <v>291</v>
      </c>
      <c r="I81">
        <v>5.8503482625758417E-4</v>
      </c>
      <c r="J81">
        <v>-1.1697275868780125E-3</v>
      </c>
      <c r="K81">
        <v>-1.1689753943981361E-4</v>
      </c>
      <c r="L81">
        <v>5.8462439548787883E-4</v>
      </c>
      <c r="M81">
        <v>-1.1695222514941287E-4</v>
      </c>
      <c r="N81">
        <f>RESULTADOS_R!$T$32+(RESULTADOS_R!$T$33*I80)+(RESULTADOS_R!$T$34*I79)+(RESULTADOS_R!$T$35*I78)+(RESULTADOS_R!$T$36*I77)</f>
        <v>-1.3853840344347476E-4</v>
      </c>
      <c r="O81">
        <f t="shared" si="11"/>
        <v>7.2357322970105888E-4</v>
      </c>
      <c r="P81" s="3"/>
      <c r="Q81" t="s">
        <v>133</v>
      </c>
      <c r="R81" t="s">
        <v>291</v>
      </c>
      <c r="S81">
        <v>-1.2138894707967607E-2</v>
      </c>
      <c r="T81">
        <f>RESULTADOS_R!$T$37</f>
        <v>-1.944E-3</v>
      </c>
      <c r="U81">
        <f t="shared" si="8"/>
        <v>-1.0194894707967608E-2</v>
      </c>
      <c r="V81" s="3"/>
      <c r="W81" t="s">
        <v>133</v>
      </c>
      <c r="X81" t="s">
        <v>291</v>
      </c>
      <c r="Y81">
        <v>8.6498262241377251E-3</v>
      </c>
      <c r="Z81">
        <f>RESULTADOS_R!$T$38</f>
        <v>-1.799E-3</v>
      </c>
      <c r="AA81">
        <f t="shared" si="9"/>
        <v>1.0448826224137725E-2</v>
      </c>
      <c r="AB81" s="3"/>
      <c r="AC81" t="s">
        <v>133</v>
      </c>
      <c r="AD81" t="s">
        <v>291</v>
      </c>
      <c r="AE81">
        <v>7.5842384223670971E-3</v>
      </c>
      <c r="AF81">
        <v>-1.5177022535236404E-2</v>
      </c>
      <c r="AG81">
        <v>7.3448208542431451E-3</v>
      </c>
      <c r="AH81">
        <v>6.2730435323110866E-3</v>
      </c>
      <c r="AI81">
        <v>-9.4762311644031223E-4</v>
      </c>
      <c r="AJ81">
        <f>RESULTADOS_R!$T$39+(RESULTADOS_R!$T$40*AE80)+(RESULTADOS_R!$T$41*AE79)+(RESULTADOS_R!$T$42*AE78)+(RESULTADOS_R!$T$43*AE77)</f>
        <v>-2.3451154670541103E-3</v>
      </c>
      <c r="AK81">
        <f t="shared" si="12"/>
        <v>9.929353889421207E-3</v>
      </c>
      <c r="AL81" s="3"/>
      <c r="AM81" t="s">
        <v>133</v>
      </c>
      <c r="AN81" t="s">
        <v>291</v>
      </c>
      <c r="AO81">
        <v>7.400435610163552E-3</v>
      </c>
      <c r="AP81">
        <v>-1.7694818869293735E-2</v>
      </c>
      <c r="AQ81">
        <v>1.0203200422282028E-2</v>
      </c>
      <c r="AR81">
        <v>9.7996368758599631E-3</v>
      </c>
      <c r="AS81">
        <v>-8.0918355477809893E-3</v>
      </c>
      <c r="AT81">
        <f>RESULTADOS_R!$T$44+(RESULTADOS_R!$T$45*AO80)+(RESULTADOS_R!$T$46*AO79)+(RESULTADOS_R!$T$47*AO78)+(RESULTADOS_R!$T$48*AO77)</f>
        <v>-5.5260939497798495E-3</v>
      </c>
      <c r="AU81">
        <f t="shared" si="13"/>
        <v>1.2926529559943402E-2</v>
      </c>
      <c r="AV81" s="3"/>
      <c r="AW81" t="s">
        <v>133</v>
      </c>
      <c r="AX81" t="s">
        <v>291</v>
      </c>
      <c r="AY81">
        <v>5.0915704438059164E-4</v>
      </c>
      <c r="AZ81">
        <f>RESULTADOS_R!$T$49</f>
        <v>3.5589999999999998E-4</v>
      </c>
      <c r="BA81">
        <f t="shared" si="10"/>
        <v>1.5325704438059166E-4</v>
      </c>
    </row>
    <row r="82" spans="1:53" x14ac:dyDescent="0.25">
      <c r="A82" t="s">
        <v>133</v>
      </c>
      <c r="B82" t="s">
        <v>292</v>
      </c>
      <c r="C82">
        <v>-1.9570673392223188E-2</v>
      </c>
      <c r="D82">
        <f>RESULTADOS_R!$T$31</f>
        <v>2.8909999999999998E-4</v>
      </c>
      <c r="E82">
        <f t="shared" si="7"/>
        <v>-1.9859773392223189E-2</v>
      </c>
      <c r="F82" s="3"/>
      <c r="G82" t="s">
        <v>133</v>
      </c>
      <c r="H82" t="s">
        <v>292</v>
      </c>
      <c r="I82">
        <v>-1.2875287083263425E-3</v>
      </c>
      <c r="J82">
        <v>5.8503482625758417E-4</v>
      </c>
      <c r="K82">
        <v>-1.1697275868780125E-3</v>
      </c>
      <c r="L82">
        <v>-1.1689753943981361E-4</v>
      </c>
      <c r="M82">
        <v>5.8462439548787883E-4</v>
      </c>
      <c r="N82">
        <f>RESULTADOS_R!$T$32+(RESULTADOS_R!$T$33*I81)+(RESULTADOS_R!$T$34*I80)+(RESULTADOS_R!$T$35*I79)+(RESULTADOS_R!$T$36*I78)</f>
        <v>-3.4789023763490828E-4</v>
      </c>
      <c r="O82">
        <f t="shared" si="11"/>
        <v>-9.396384706914342E-4</v>
      </c>
      <c r="P82" s="3"/>
      <c r="Q82" t="s">
        <v>133</v>
      </c>
      <c r="R82" t="s">
        <v>292</v>
      </c>
      <c r="S82">
        <v>-5.206633631100601E-2</v>
      </c>
      <c r="T82">
        <f>RESULTADOS_R!$T$37</f>
        <v>-1.944E-3</v>
      </c>
      <c r="U82">
        <f t="shared" si="8"/>
        <v>-5.0122336311006009E-2</v>
      </c>
      <c r="V82" s="3"/>
      <c r="W82" t="s">
        <v>133</v>
      </c>
      <c r="X82" t="s">
        <v>292</v>
      </c>
      <c r="Y82">
        <v>-6.6379232166095883E-2</v>
      </c>
      <c r="Z82">
        <f>RESULTADOS_R!$T$38</f>
        <v>-1.799E-3</v>
      </c>
      <c r="AA82">
        <f t="shared" si="9"/>
        <v>-6.4580232166095888E-2</v>
      </c>
      <c r="AB82" s="3"/>
      <c r="AC82" t="s">
        <v>133</v>
      </c>
      <c r="AD82" t="s">
        <v>292</v>
      </c>
      <c r="AE82">
        <v>-2.7758710351407463E-3</v>
      </c>
      <c r="AF82">
        <v>7.5842384223670971E-3</v>
      </c>
      <c r="AG82">
        <v>-1.5177022535236404E-2</v>
      </c>
      <c r="AH82">
        <v>7.3448208542431451E-3</v>
      </c>
      <c r="AI82">
        <v>6.2730435323110866E-3</v>
      </c>
      <c r="AJ82">
        <f>RESULTADOS_R!$T$39+(RESULTADOS_R!$T$40*AE81)+(RESULTADOS_R!$T$41*AE80)+(RESULTADOS_R!$T$42*AE79)+(RESULTADOS_R!$T$43*AE78)</f>
        <v>4.0445283222635756E-3</v>
      </c>
      <c r="AK82">
        <f t="shared" si="12"/>
        <v>-6.8203993574043218E-3</v>
      </c>
      <c r="AL82" s="3"/>
      <c r="AM82" t="s">
        <v>133</v>
      </c>
      <c r="AN82" t="s">
        <v>292</v>
      </c>
      <c r="AO82">
        <v>-1.1200330174093802E-2</v>
      </c>
      <c r="AP82">
        <v>7.400435610163552E-3</v>
      </c>
      <c r="AQ82">
        <v>-1.7694818869293735E-2</v>
      </c>
      <c r="AR82">
        <v>1.0203200422282028E-2</v>
      </c>
      <c r="AS82">
        <v>9.7996368758599631E-3</v>
      </c>
      <c r="AT82">
        <f>RESULTADOS_R!$T$44+(RESULTADOS_R!$T$45*AO81)+(RESULTADOS_R!$T$46*AO80)+(RESULTADOS_R!$T$47*AO79)+(RESULTADOS_R!$T$48*AO78)</f>
        <v>8.9092166935934771E-3</v>
      </c>
      <c r="AU82">
        <f t="shared" si="13"/>
        <v>-2.0109546867687279E-2</v>
      </c>
      <c r="AV82" s="3"/>
      <c r="AW82" t="s">
        <v>133</v>
      </c>
      <c r="AX82" t="s">
        <v>292</v>
      </c>
      <c r="AY82">
        <v>-9.4578379782402587E-4</v>
      </c>
      <c r="AZ82">
        <f>RESULTADOS_R!$T$49</f>
        <v>3.5589999999999998E-4</v>
      </c>
      <c r="BA82">
        <f t="shared" si="10"/>
        <v>-1.3016837978240259E-3</v>
      </c>
    </row>
    <row r="83" spans="1:53" x14ac:dyDescent="0.25">
      <c r="A83" t="s">
        <v>133</v>
      </c>
      <c r="B83" t="s">
        <v>293</v>
      </c>
      <c r="C83">
        <v>-9.5778312471516249E-4</v>
      </c>
      <c r="D83">
        <f>RESULTADOS_R!$T$31</f>
        <v>2.8909999999999998E-4</v>
      </c>
      <c r="E83">
        <f t="shared" si="7"/>
        <v>-1.2468831247151625E-3</v>
      </c>
      <c r="F83" s="3"/>
      <c r="G83" t="s">
        <v>133</v>
      </c>
      <c r="H83" t="s">
        <v>293</v>
      </c>
      <c r="I83">
        <v>-8.2020040921255955E-4</v>
      </c>
      <c r="J83">
        <v>-1.2875287083263425E-3</v>
      </c>
      <c r="K83">
        <v>5.8503482625758417E-4</v>
      </c>
      <c r="L83">
        <v>-1.1697275868780125E-3</v>
      </c>
      <c r="M83">
        <v>-1.1689753943981361E-4</v>
      </c>
      <c r="N83">
        <f>RESULTADOS_R!$T$32+(RESULTADOS_R!$T$33*I82)+(RESULTADOS_R!$T$34*I81)+(RESULTADOS_R!$T$35*I80)+(RESULTADOS_R!$T$36*I79)</f>
        <v>-9.7173308412074619E-5</v>
      </c>
      <c r="O83">
        <f t="shared" si="11"/>
        <v>-7.2302710080048493E-4</v>
      </c>
      <c r="P83" s="3"/>
      <c r="Q83" t="s">
        <v>133</v>
      </c>
      <c r="R83" t="s">
        <v>293</v>
      </c>
      <c r="S83">
        <v>-9.4103138585239603E-3</v>
      </c>
      <c r="T83">
        <f>RESULTADOS_R!$T$37</f>
        <v>-1.944E-3</v>
      </c>
      <c r="U83">
        <f t="shared" si="8"/>
        <v>-7.4663138585239607E-3</v>
      </c>
      <c r="V83" s="3"/>
      <c r="W83" t="s">
        <v>133</v>
      </c>
      <c r="X83" t="s">
        <v>293</v>
      </c>
      <c r="Y83">
        <v>-3.7881560346308761E-2</v>
      </c>
      <c r="Z83">
        <f>RESULTADOS_R!$T$38</f>
        <v>-1.799E-3</v>
      </c>
      <c r="AA83">
        <f t="shared" si="9"/>
        <v>-3.6082560346308759E-2</v>
      </c>
      <c r="AB83" s="3"/>
      <c r="AC83" t="s">
        <v>133</v>
      </c>
      <c r="AD83" t="s">
        <v>293</v>
      </c>
      <c r="AE83">
        <v>-1.1589225400049023E-2</v>
      </c>
      <c r="AF83">
        <v>-2.7758710351407463E-3</v>
      </c>
      <c r="AG83">
        <v>7.5842384223670971E-3</v>
      </c>
      <c r="AH83">
        <v>-1.5177022535236404E-2</v>
      </c>
      <c r="AI83">
        <v>7.3448208542431451E-3</v>
      </c>
      <c r="AJ83">
        <f>RESULTADOS_R!$T$39+(RESULTADOS_R!$T$40*AE82)+(RESULTADOS_R!$T$41*AE81)+(RESULTADOS_R!$T$42*AE80)+(RESULTADOS_R!$T$43*AE79)</f>
        <v>-1.2275077873624028E-3</v>
      </c>
      <c r="AK83">
        <f t="shared" si="12"/>
        <v>-1.036171761268662E-2</v>
      </c>
      <c r="AL83" s="3"/>
      <c r="AM83" t="s">
        <v>133</v>
      </c>
      <c r="AN83" t="s">
        <v>293</v>
      </c>
      <c r="AO83">
        <v>-2.7656743264681895E-2</v>
      </c>
      <c r="AP83">
        <v>-1.1200330174093802E-2</v>
      </c>
      <c r="AQ83">
        <v>7.400435610163552E-3</v>
      </c>
      <c r="AR83">
        <v>-1.7694818869293735E-2</v>
      </c>
      <c r="AS83">
        <v>1.0203200422282028E-2</v>
      </c>
      <c r="AT83">
        <f>RESULTADOS_R!$T$44+(RESULTADOS_R!$T$45*AO82)+(RESULTADOS_R!$T$46*AO81)+(RESULTADOS_R!$T$47*AO80)+(RESULTADOS_R!$T$48*AO79)</f>
        <v>-1.0236920597159459E-2</v>
      </c>
      <c r="AU83">
        <f t="shared" si="13"/>
        <v>-1.7419822667522435E-2</v>
      </c>
      <c r="AV83" s="3"/>
      <c r="AW83" t="s">
        <v>133</v>
      </c>
      <c r="AX83" t="s">
        <v>293</v>
      </c>
      <c r="AY83">
        <v>1.5481246370882239E-3</v>
      </c>
      <c r="AZ83">
        <f>RESULTADOS_R!$T$49</f>
        <v>3.5589999999999998E-4</v>
      </c>
      <c r="BA83">
        <f t="shared" si="10"/>
        <v>1.1922246370882239E-3</v>
      </c>
    </row>
    <row r="84" spans="1:53" x14ac:dyDescent="0.25">
      <c r="A84" t="s">
        <v>133</v>
      </c>
      <c r="B84" t="s">
        <v>294</v>
      </c>
      <c r="C84">
        <v>-4.0754982742266643E-3</v>
      </c>
      <c r="D84">
        <f>RESULTADOS_R!$T$31</f>
        <v>2.8909999999999998E-4</v>
      </c>
      <c r="E84">
        <f t="shared" si="7"/>
        <v>-4.3645982742266639E-3</v>
      </c>
      <c r="F84" s="3"/>
      <c r="G84" t="s">
        <v>133</v>
      </c>
      <c r="H84" t="s">
        <v>294</v>
      </c>
      <c r="I84">
        <v>-2.344665895851989E-4</v>
      </c>
      <c r="J84">
        <v>-8.2020040921255955E-4</v>
      </c>
      <c r="K84">
        <v>-1.2875287083263425E-3</v>
      </c>
      <c r="L84">
        <v>5.8503482625758417E-4</v>
      </c>
      <c r="M84">
        <v>-1.1697275868780125E-3</v>
      </c>
      <c r="N84">
        <f>RESULTADOS_R!$T$32+(RESULTADOS_R!$T$33*I83)+(RESULTADOS_R!$T$34*I82)+(RESULTADOS_R!$T$35*I81)+(RESULTADOS_R!$T$36*I80)</f>
        <v>3.7316749561723284E-4</v>
      </c>
      <c r="O84">
        <f t="shared" si="11"/>
        <v>-6.0763408520243172E-4</v>
      </c>
      <c r="P84" s="3"/>
      <c r="Q84" t="s">
        <v>133</v>
      </c>
      <c r="R84" t="s">
        <v>294</v>
      </c>
      <c r="S84">
        <v>-3.7847987735386703E-2</v>
      </c>
      <c r="T84">
        <f>RESULTADOS_R!$T$37</f>
        <v>-1.944E-3</v>
      </c>
      <c r="U84">
        <f t="shared" si="8"/>
        <v>-3.5903987735386701E-2</v>
      </c>
      <c r="V84" s="3"/>
      <c r="W84" t="s">
        <v>133</v>
      </c>
      <c r="X84" t="s">
        <v>294</v>
      </c>
      <c r="Y84">
        <v>-6.8148186131270563E-2</v>
      </c>
      <c r="Z84">
        <f>RESULTADOS_R!$T$38</f>
        <v>-1.799E-3</v>
      </c>
      <c r="AA84">
        <f t="shared" si="9"/>
        <v>-6.6349186131270568E-2</v>
      </c>
      <c r="AB84" s="3"/>
      <c r="AC84" t="s">
        <v>133</v>
      </c>
      <c r="AD84" t="s">
        <v>294</v>
      </c>
      <c r="AE84">
        <v>3.8780176436175925E-3</v>
      </c>
      <c r="AF84">
        <v>-1.1589225400049023E-2</v>
      </c>
      <c r="AG84">
        <v>-2.7758710351407463E-3</v>
      </c>
      <c r="AH84">
        <v>7.5842384223670971E-3</v>
      </c>
      <c r="AI84">
        <v>-1.5177022535236404E-2</v>
      </c>
      <c r="AJ84">
        <f>RESULTADOS_R!$T$39+(RESULTADOS_R!$T$40*AE83)+(RESULTADOS_R!$T$41*AE82)+(RESULTADOS_R!$T$42*AE81)+(RESULTADOS_R!$T$43*AE80)</f>
        <v>-5.0731743245486919E-4</v>
      </c>
      <c r="AK84">
        <f t="shared" si="12"/>
        <v>4.3853350760724615E-3</v>
      </c>
      <c r="AL84" s="3"/>
      <c r="AM84" t="s">
        <v>133</v>
      </c>
      <c r="AN84" t="s">
        <v>294</v>
      </c>
      <c r="AO84">
        <v>6.663406872679265E-3</v>
      </c>
      <c r="AP84">
        <v>-2.7656743264681895E-2</v>
      </c>
      <c r="AQ84">
        <v>-1.1200330174093802E-2</v>
      </c>
      <c r="AR84">
        <v>7.400435610163552E-3</v>
      </c>
      <c r="AS84">
        <v>-1.7694818869293735E-2</v>
      </c>
      <c r="AT84">
        <f>RESULTADOS_R!$T$44+(RESULTADOS_R!$T$45*AO83)+(RESULTADOS_R!$T$46*AO82)+(RESULTADOS_R!$T$47*AO81)+(RESULTADOS_R!$T$48*AO80)</f>
        <v>-2.932847975280462E-3</v>
      </c>
      <c r="AU84">
        <f t="shared" si="13"/>
        <v>9.596254847959727E-3</v>
      </c>
      <c r="AV84" s="3"/>
      <c r="AW84" t="s">
        <v>133</v>
      </c>
      <c r="AX84" t="s">
        <v>294</v>
      </c>
      <c r="AY84">
        <v>-6.2591657123943862E-3</v>
      </c>
      <c r="AZ84">
        <f>RESULTADOS_R!$T$49</f>
        <v>3.5589999999999998E-4</v>
      </c>
      <c r="BA84">
        <f t="shared" si="10"/>
        <v>-6.6150657123943864E-3</v>
      </c>
    </row>
    <row r="85" spans="1:53" x14ac:dyDescent="0.25">
      <c r="A85" t="s">
        <v>133</v>
      </c>
      <c r="B85" t="s">
        <v>295</v>
      </c>
      <c r="C85">
        <v>-1.4335692975388575E-3</v>
      </c>
      <c r="D85">
        <f>RESULTADOS_R!$T$31</f>
        <v>2.8909999999999998E-4</v>
      </c>
      <c r="E85">
        <f t="shared" si="7"/>
        <v>-1.7226692975388575E-3</v>
      </c>
      <c r="F85" s="3"/>
      <c r="G85" t="s">
        <v>133</v>
      </c>
      <c r="H85" t="s">
        <v>295</v>
      </c>
      <c r="I85">
        <v>-5.8640710060185719E-4</v>
      </c>
      <c r="J85">
        <v>-2.344665895851989E-4</v>
      </c>
      <c r="K85">
        <v>-8.2020040921255955E-4</v>
      </c>
      <c r="L85">
        <v>-1.2875287083263425E-3</v>
      </c>
      <c r="M85">
        <v>5.8503482625758417E-4</v>
      </c>
      <c r="N85">
        <f>RESULTADOS_R!$T$32+(RESULTADOS_R!$T$33*I84)+(RESULTADOS_R!$T$34*I83)+(RESULTADOS_R!$T$35*I82)+(RESULTADOS_R!$T$36*I81)</f>
        <v>-2.3686563740847743E-4</v>
      </c>
      <c r="O85">
        <f t="shared" si="11"/>
        <v>-3.4954146319337979E-4</v>
      </c>
      <c r="P85" s="3"/>
      <c r="Q85" t="s">
        <v>133</v>
      </c>
      <c r="R85" t="s">
        <v>295</v>
      </c>
      <c r="S85">
        <v>6.3172341935727166E-3</v>
      </c>
      <c r="T85">
        <f>RESULTADOS_R!$T$37</f>
        <v>-1.944E-3</v>
      </c>
      <c r="U85">
        <f t="shared" si="8"/>
        <v>8.2612341935727161E-3</v>
      </c>
      <c r="V85" s="3"/>
      <c r="W85" t="s">
        <v>133</v>
      </c>
      <c r="X85" t="s">
        <v>295</v>
      </c>
      <c r="Y85">
        <v>-3.5091912693365389E-2</v>
      </c>
      <c r="Z85">
        <f>RESULTADOS_R!$T$38</f>
        <v>-1.799E-3</v>
      </c>
      <c r="AA85">
        <f t="shared" si="9"/>
        <v>-3.3292912693365387E-2</v>
      </c>
      <c r="AB85" s="3"/>
      <c r="AC85" t="s">
        <v>133</v>
      </c>
      <c r="AD85" t="s">
        <v>295</v>
      </c>
      <c r="AE85">
        <v>3.2137562967123473E-3</v>
      </c>
      <c r="AF85">
        <v>3.8780176436175925E-3</v>
      </c>
      <c r="AG85">
        <v>-1.1589225400049023E-2</v>
      </c>
      <c r="AH85">
        <v>-2.7758710351407463E-3</v>
      </c>
      <c r="AI85">
        <v>7.5842384223670971E-3</v>
      </c>
      <c r="AJ85">
        <f>RESULTADOS_R!$T$39+(RESULTADOS_R!$T$40*AE84)+(RESULTADOS_R!$T$41*AE83)+(RESULTADOS_R!$T$42*AE82)+(RESULTADOS_R!$T$43*AE81)</f>
        <v>3.0604323139986692E-3</v>
      </c>
      <c r="AK85">
        <f t="shared" si="12"/>
        <v>1.5332398271367814E-4</v>
      </c>
      <c r="AL85" s="3"/>
      <c r="AM85" t="s">
        <v>133</v>
      </c>
      <c r="AN85" t="s">
        <v>295</v>
      </c>
      <c r="AO85">
        <v>6.7618405044731792E-3</v>
      </c>
      <c r="AP85">
        <v>6.663406872679265E-3</v>
      </c>
      <c r="AQ85">
        <v>-2.7656743264681895E-2</v>
      </c>
      <c r="AR85">
        <v>-1.1200330174093802E-2</v>
      </c>
      <c r="AS85">
        <v>7.400435610163552E-3</v>
      </c>
      <c r="AT85">
        <f>RESULTADOS_R!$T$44+(RESULTADOS_R!$T$45*AO84)+(RESULTADOS_R!$T$46*AO83)+(RESULTADOS_R!$T$47*AO82)+(RESULTADOS_R!$T$48*AO81)</f>
        <v>6.4241886341481532E-3</v>
      </c>
      <c r="AU85">
        <f t="shared" si="13"/>
        <v>3.3765187032502603E-4</v>
      </c>
      <c r="AV85" s="3"/>
      <c r="AW85" t="s">
        <v>133</v>
      </c>
      <c r="AX85" t="s">
        <v>295</v>
      </c>
      <c r="AY85">
        <v>2.837621224913951E-3</v>
      </c>
      <c r="AZ85">
        <f>RESULTADOS_R!$T$49</f>
        <v>3.5589999999999998E-4</v>
      </c>
      <c r="BA85">
        <f t="shared" si="10"/>
        <v>2.4817212249139508E-3</v>
      </c>
    </row>
    <row r="86" spans="1:53" x14ac:dyDescent="0.25">
      <c r="A86" t="s">
        <v>133</v>
      </c>
      <c r="B86" t="s">
        <v>296</v>
      </c>
      <c r="C86">
        <v>9.122556178201114E-3</v>
      </c>
      <c r="D86">
        <f>RESULTADOS_R!$T$31</f>
        <v>2.8909999999999998E-4</v>
      </c>
      <c r="E86">
        <f t="shared" si="7"/>
        <v>8.8334561782011135E-3</v>
      </c>
      <c r="F86" s="3"/>
      <c r="G86" t="s">
        <v>133</v>
      </c>
      <c r="H86" t="s">
        <v>296</v>
      </c>
      <c r="I86">
        <v>3.5188552354189828E-4</v>
      </c>
      <c r="J86">
        <v>-5.8640710060185719E-4</v>
      </c>
      <c r="K86">
        <v>-2.344665895851989E-4</v>
      </c>
      <c r="L86">
        <v>-8.2020040921255955E-4</v>
      </c>
      <c r="M86">
        <v>-1.2875287083263425E-3</v>
      </c>
      <c r="N86">
        <f>RESULTADOS_R!$T$32+(RESULTADOS_R!$T$33*I85)+(RESULTADOS_R!$T$34*I84)+(RESULTADOS_R!$T$35*I83)+(RESULTADOS_R!$T$36*I82)</f>
        <v>3.4971216738585432E-4</v>
      </c>
      <c r="O86">
        <f t="shared" si="11"/>
        <v>2.1733561560439551E-6</v>
      </c>
      <c r="P86" s="3"/>
      <c r="Q86" t="s">
        <v>133</v>
      </c>
      <c r="R86" t="s">
        <v>296</v>
      </c>
      <c r="S86">
        <v>2.163334510569704E-2</v>
      </c>
      <c r="T86">
        <f>RESULTADOS_R!$T$37</f>
        <v>-1.944E-3</v>
      </c>
      <c r="U86">
        <f t="shared" si="8"/>
        <v>2.3577345105697041E-2</v>
      </c>
      <c r="V86" s="3"/>
      <c r="W86" t="s">
        <v>133</v>
      </c>
      <c r="X86" t="s">
        <v>296</v>
      </c>
      <c r="Y86">
        <v>4.9055416531157352E-2</v>
      </c>
      <c r="Z86">
        <f>RESULTADOS_R!$T$38</f>
        <v>-1.799E-3</v>
      </c>
      <c r="AA86">
        <f t="shared" si="9"/>
        <v>5.0854416531157354E-2</v>
      </c>
      <c r="AB86" s="3"/>
      <c r="AC86" t="s">
        <v>133</v>
      </c>
      <c r="AD86" t="s">
        <v>296</v>
      </c>
      <c r="AE86">
        <v>1.1370595706885785E-2</v>
      </c>
      <c r="AF86">
        <v>3.2137562967123473E-3</v>
      </c>
      <c r="AG86">
        <v>3.8780176436175925E-3</v>
      </c>
      <c r="AH86">
        <v>-1.1589225400049023E-2</v>
      </c>
      <c r="AI86">
        <v>-2.7758710351407463E-3</v>
      </c>
      <c r="AJ86">
        <f>RESULTADOS_R!$T$39+(RESULTADOS_R!$T$40*AE85)+(RESULTADOS_R!$T$41*AE84)+(RESULTADOS_R!$T$42*AE83)+(RESULTADOS_R!$T$43*AE82)</f>
        <v>-3.1325798076630731E-4</v>
      </c>
      <c r="AK86">
        <f t="shared" si="12"/>
        <v>1.1683853687652093E-2</v>
      </c>
      <c r="AL86" s="3"/>
      <c r="AM86" t="s">
        <v>133</v>
      </c>
      <c r="AN86" t="s">
        <v>296</v>
      </c>
      <c r="AO86">
        <v>1.3779105567994091E-2</v>
      </c>
      <c r="AP86">
        <v>6.7618405044731792E-3</v>
      </c>
      <c r="AQ86">
        <v>6.663406872679265E-3</v>
      </c>
      <c r="AR86">
        <v>-2.7656743264681895E-2</v>
      </c>
      <c r="AS86">
        <v>-1.1200330174093802E-2</v>
      </c>
      <c r="AT86">
        <f>RESULTADOS_R!$T$44+(RESULTADOS_R!$T$45*AO85)+(RESULTADOS_R!$T$46*AO84)+(RESULTADOS_R!$T$47*AO83)+(RESULTADOS_R!$T$48*AO82)</f>
        <v>-5.6428502843137015E-3</v>
      </c>
      <c r="AU86">
        <f t="shared" si="13"/>
        <v>1.9421955852307791E-2</v>
      </c>
      <c r="AV86" s="3"/>
      <c r="AW86" t="s">
        <v>133</v>
      </c>
      <c r="AX86" t="s">
        <v>296</v>
      </c>
      <c r="AY86">
        <v>-3.830602497350474E-3</v>
      </c>
      <c r="AZ86">
        <f>RESULTADOS_R!$T$49</f>
        <v>3.5589999999999998E-4</v>
      </c>
      <c r="BA86">
        <f t="shared" si="10"/>
        <v>-4.1865024973504741E-3</v>
      </c>
    </row>
    <row r="87" spans="1:53" x14ac:dyDescent="0.25">
      <c r="A87" t="s">
        <v>133</v>
      </c>
      <c r="B87" t="s">
        <v>297</v>
      </c>
      <c r="C87">
        <v>2.8179477305119447E-3</v>
      </c>
      <c r="D87">
        <f>RESULTADOS_R!$T$31</f>
        <v>2.8909999999999998E-4</v>
      </c>
      <c r="E87">
        <f t="shared" si="7"/>
        <v>2.5288477305119446E-3</v>
      </c>
      <c r="F87" s="3"/>
      <c r="G87" t="s">
        <v>133</v>
      </c>
      <c r="H87" t="s">
        <v>297</v>
      </c>
      <c r="I87">
        <v>-3.5188552354189486E-4</v>
      </c>
      <c r="J87">
        <v>3.5188552354189828E-4</v>
      </c>
      <c r="K87">
        <v>-5.8640710060185719E-4</v>
      </c>
      <c r="L87">
        <v>-2.344665895851989E-4</v>
      </c>
      <c r="M87">
        <v>-8.2020040921255955E-4</v>
      </c>
      <c r="N87">
        <f>RESULTADOS_R!$T$32+(RESULTADOS_R!$T$33*I86)+(RESULTADOS_R!$T$34*I85)+(RESULTADOS_R!$T$35*I84)+(RESULTADOS_R!$T$36*I83)</f>
        <v>1.0372930664921849E-4</v>
      </c>
      <c r="O87">
        <f t="shared" si="11"/>
        <v>-4.5561483019111336E-4</v>
      </c>
      <c r="P87" s="3"/>
      <c r="Q87" t="s">
        <v>133</v>
      </c>
      <c r="R87" t="s">
        <v>297</v>
      </c>
      <c r="S87">
        <v>2.7993918897847716E-2</v>
      </c>
      <c r="T87">
        <f>RESULTADOS_R!$T$37</f>
        <v>-1.944E-3</v>
      </c>
      <c r="U87">
        <f t="shared" si="8"/>
        <v>2.9937918897847717E-2</v>
      </c>
      <c r="V87" s="3"/>
      <c r="W87" t="s">
        <v>133</v>
      </c>
      <c r="X87" t="s">
        <v>297</v>
      </c>
      <c r="Y87">
        <v>4.059231066947952E-2</v>
      </c>
      <c r="Z87">
        <f>RESULTADOS_R!$T$38</f>
        <v>-1.799E-3</v>
      </c>
      <c r="AA87">
        <f t="shared" si="9"/>
        <v>4.2391310669479522E-2</v>
      </c>
      <c r="AB87" s="3"/>
      <c r="AC87" t="s">
        <v>133</v>
      </c>
      <c r="AD87" t="s">
        <v>297</v>
      </c>
      <c r="AE87">
        <v>1.8150268326056905E-3</v>
      </c>
      <c r="AF87">
        <v>1.1370595706885785E-2</v>
      </c>
      <c r="AG87">
        <v>3.2137562967123473E-3</v>
      </c>
      <c r="AH87">
        <v>3.8780176436175925E-3</v>
      </c>
      <c r="AI87">
        <v>-1.1589225400049023E-2</v>
      </c>
      <c r="AJ87">
        <f>RESULTADOS_R!$T$39+(RESULTADOS_R!$T$40*AE86)+(RESULTADOS_R!$T$41*AE85)+(RESULTADOS_R!$T$42*AE84)+(RESULTADOS_R!$T$43*AE83)</f>
        <v>2.6026938496985578E-4</v>
      </c>
      <c r="AK87">
        <f t="shared" si="12"/>
        <v>1.5547574476358348E-3</v>
      </c>
      <c r="AL87" s="3"/>
      <c r="AM87" t="s">
        <v>133</v>
      </c>
      <c r="AN87" t="s">
        <v>297</v>
      </c>
      <c r="AO87">
        <v>1.5228665372696671E-2</v>
      </c>
      <c r="AP87">
        <v>1.3779105567994091E-2</v>
      </c>
      <c r="AQ87">
        <v>6.7618405044731792E-3</v>
      </c>
      <c r="AR87">
        <v>6.663406872679265E-3</v>
      </c>
      <c r="AS87">
        <v>-2.7656743264681895E-2</v>
      </c>
      <c r="AT87">
        <f>RESULTADOS_R!$T$44+(RESULTADOS_R!$T$45*AO86)+(RESULTADOS_R!$T$46*AO85)+(RESULTADOS_R!$T$47*AO84)+(RESULTADOS_R!$T$48*AO83)</f>
        <v>5.5169697405813099E-3</v>
      </c>
      <c r="AU87">
        <f t="shared" si="13"/>
        <v>9.7116956321153611E-3</v>
      </c>
      <c r="AV87" s="3"/>
      <c r="AW87" t="s">
        <v>133</v>
      </c>
      <c r="AX87" t="s">
        <v>297</v>
      </c>
      <c r="AY87">
        <v>-7.4420803331744674E-3</v>
      </c>
      <c r="AZ87">
        <f>RESULTADOS_R!$T$49</f>
        <v>3.5589999999999998E-4</v>
      </c>
      <c r="BA87">
        <f t="shared" si="10"/>
        <v>-7.7979803331744675E-3</v>
      </c>
    </row>
    <row r="88" spans="1:53" x14ac:dyDescent="0.25">
      <c r="A88" t="s">
        <v>133</v>
      </c>
      <c r="B88" t="s">
        <v>298</v>
      </c>
      <c r="C88">
        <v>-1.4362980520263828E-2</v>
      </c>
      <c r="D88">
        <f>RESULTADOS_R!$T$31</f>
        <v>2.8909999999999998E-4</v>
      </c>
      <c r="E88">
        <f t="shared" si="7"/>
        <v>-1.4652080520263828E-2</v>
      </c>
      <c r="F88" s="3"/>
      <c r="G88" t="s">
        <v>133</v>
      </c>
      <c r="H88" t="s">
        <v>298</v>
      </c>
      <c r="I88">
        <v>4.6915318711818747E-4</v>
      </c>
      <c r="J88">
        <v>-3.5188552354189486E-4</v>
      </c>
      <c r="K88">
        <v>3.5188552354189828E-4</v>
      </c>
      <c r="L88">
        <v>-5.8640710060185719E-4</v>
      </c>
      <c r="M88">
        <v>-2.344665895851989E-4</v>
      </c>
      <c r="N88">
        <f>RESULTADOS_R!$T$32+(RESULTADOS_R!$T$33*I87)+(RESULTADOS_R!$T$34*I86)+(RESULTADOS_R!$T$35*I85)+(RESULTADOS_R!$T$36*I84)</f>
        <v>-1.4955745265344411E-4</v>
      </c>
      <c r="O88">
        <f t="shared" si="11"/>
        <v>6.1871063977163158E-4</v>
      </c>
      <c r="P88" s="3"/>
      <c r="Q88" t="s">
        <v>133</v>
      </c>
      <c r="R88" t="s">
        <v>298</v>
      </c>
      <c r="S88">
        <v>-3.137576234756561E-2</v>
      </c>
      <c r="T88">
        <f>RESULTADOS_R!$T$37</f>
        <v>-1.944E-3</v>
      </c>
      <c r="U88">
        <f t="shared" si="8"/>
        <v>-2.9431762347565608E-2</v>
      </c>
      <c r="V88" s="3"/>
      <c r="W88" t="s">
        <v>133</v>
      </c>
      <c r="X88" t="s">
        <v>298</v>
      </c>
      <c r="Y88">
        <v>-3.7454411497470877E-2</v>
      </c>
      <c r="Z88">
        <f>RESULTADOS_R!$T$38</f>
        <v>-1.799E-3</v>
      </c>
      <c r="AA88">
        <f t="shared" si="9"/>
        <v>-3.5655411497470875E-2</v>
      </c>
      <c r="AB88" s="3"/>
      <c r="AC88" t="s">
        <v>133</v>
      </c>
      <c r="AD88" t="s">
        <v>298</v>
      </c>
      <c r="AE88">
        <v>-1.771120243866242E-3</v>
      </c>
      <c r="AF88">
        <v>1.8150268326056905E-3</v>
      </c>
      <c r="AG88">
        <v>1.1370595706885785E-2</v>
      </c>
      <c r="AH88">
        <v>3.2137562967123473E-3</v>
      </c>
      <c r="AI88">
        <v>3.8780176436175925E-3</v>
      </c>
      <c r="AJ88">
        <f>RESULTADOS_R!$T$39+(RESULTADOS_R!$T$40*AE87)+(RESULTADOS_R!$T$41*AE86)+(RESULTADOS_R!$T$42*AE85)+(RESULTADOS_R!$T$43*AE84)</f>
        <v>-1.6364669861988501E-3</v>
      </c>
      <c r="AK88">
        <f t="shared" si="12"/>
        <v>-1.3465325766739197E-4</v>
      </c>
      <c r="AL88" s="3"/>
      <c r="AM88" t="s">
        <v>133</v>
      </c>
      <c r="AN88" t="s">
        <v>298</v>
      </c>
      <c r="AO88">
        <v>-1.7582003333993486E-3</v>
      </c>
      <c r="AP88">
        <v>1.5228665372696671E-2</v>
      </c>
      <c r="AQ88">
        <v>1.3779105567994091E-2</v>
      </c>
      <c r="AR88">
        <v>6.7618405044731792E-3</v>
      </c>
      <c r="AS88">
        <v>6.663406872679265E-3</v>
      </c>
      <c r="AT88">
        <f>RESULTADOS_R!$T$44+(RESULTADOS_R!$T$45*AO87)+(RESULTADOS_R!$T$46*AO86)+(RESULTADOS_R!$T$47*AO85)+(RESULTADOS_R!$T$48*AO84)</f>
        <v>2.255454955704869E-3</v>
      </c>
      <c r="AU88">
        <f t="shared" si="13"/>
        <v>-4.0136552891042176E-3</v>
      </c>
      <c r="AV88" s="3"/>
      <c r="AW88" t="s">
        <v>133</v>
      </c>
      <c r="AX88" t="s">
        <v>298</v>
      </c>
      <c r="AY88">
        <v>-1.3178357775549114E-3</v>
      </c>
      <c r="AZ88">
        <f>RESULTADOS_R!$T$49</f>
        <v>3.5589999999999998E-4</v>
      </c>
      <c r="BA88">
        <f t="shared" si="10"/>
        <v>-1.6737357775549113E-3</v>
      </c>
    </row>
    <row r="89" spans="1:53" x14ac:dyDescent="0.25">
      <c r="A89" t="s">
        <v>133</v>
      </c>
      <c r="B89" t="s">
        <v>299</v>
      </c>
      <c r="C89">
        <v>8.3673934016515654E-4</v>
      </c>
      <c r="D89">
        <f>RESULTADOS_R!$T$31</f>
        <v>2.8909999999999998E-4</v>
      </c>
      <c r="E89">
        <f t="shared" si="7"/>
        <v>5.4763934016515661E-4</v>
      </c>
      <c r="F89" s="3"/>
      <c r="G89" t="s">
        <v>133</v>
      </c>
      <c r="H89" t="s">
        <v>299</v>
      </c>
      <c r="I89">
        <v>-1.2907012645449211E-3</v>
      </c>
      <c r="J89">
        <v>4.6915318711818747E-4</v>
      </c>
      <c r="K89">
        <v>-3.5188552354189486E-4</v>
      </c>
      <c r="L89">
        <v>3.5188552354189828E-4</v>
      </c>
      <c r="M89">
        <v>-5.8640710060185719E-4</v>
      </c>
      <c r="N89">
        <f>RESULTADOS_R!$T$32+(RESULTADOS_R!$T$33*I88)+(RESULTADOS_R!$T$34*I87)+(RESULTADOS_R!$T$35*I86)+(RESULTADOS_R!$T$36*I85)</f>
        <v>-6.7300539830645987E-5</v>
      </c>
      <c r="O89">
        <f t="shared" si="11"/>
        <v>-1.2234007247142751E-3</v>
      </c>
      <c r="P89" s="3"/>
      <c r="Q89" t="s">
        <v>133</v>
      </c>
      <c r="R89" t="s">
        <v>299</v>
      </c>
      <c r="S89">
        <v>1.1859633160531203E-2</v>
      </c>
      <c r="T89">
        <f>RESULTADOS_R!$T$37</f>
        <v>-1.944E-3</v>
      </c>
      <c r="U89">
        <f t="shared" si="8"/>
        <v>1.3803633160531202E-2</v>
      </c>
      <c r="V89" s="3"/>
      <c r="W89" t="s">
        <v>133</v>
      </c>
      <c r="X89" t="s">
        <v>299</v>
      </c>
      <c r="Y89">
        <v>1.882038441204275E-2</v>
      </c>
      <c r="Z89">
        <f>RESULTADOS_R!$T$38</f>
        <v>-1.799E-3</v>
      </c>
      <c r="AA89">
        <f t="shared" si="9"/>
        <v>2.0619384412042748E-2</v>
      </c>
      <c r="AB89" s="3"/>
      <c r="AC89" t="s">
        <v>133</v>
      </c>
      <c r="AD89" t="s">
        <v>299</v>
      </c>
      <c r="AE89">
        <v>-2.6763330998930135E-3</v>
      </c>
      <c r="AF89">
        <v>-1.771120243866242E-3</v>
      </c>
      <c r="AG89">
        <v>1.8150268326056905E-3</v>
      </c>
      <c r="AH89">
        <v>1.1370595706885785E-2</v>
      </c>
      <c r="AI89">
        <v>3.2137562967123473E-3</v>
      </c>
      <c r="AJ89">
        <f>RESULTADOS_R!$T$39+(RESULTADOS_R!$T$40*AE88)+(RESULTADOS_R!$T$41*AE87)+(RESULTADOS_R!$T$42*AE86)+(RESULTADOS_R!$T$43*AE85)</f>
        <v>-6.7482799476824019E-5</v>
      </c>
      <c r="AK89">
        <f t="shared" si="12"/>
        <v>-2.6088503004161896E-3</v>
      </c>
      <c r="AL89" s="3"/>
      <c r="AM89" t="s">
        <v>133</v>
      </c>
      <c r="AN89" t="s">
        <v>299</v>
      </c>
      <c r="AO89">
        <v>-5.2714385123055277E-3</v>
      </c>
      <c r="AP89">
        <v>-1.7582003333993486E-3</v>
      </c>
      <c r="AQ89">
        <v>1.5228665372696671E-2</v>
      </c>
      <c r="AR89">
        <v>1.3779105567994091E-2</v>
      </c>
      <c r="AS89">
        <v>6.7618405044731792E-3</v>
      </c>
      <c r="AT89">
        <f>RESULTADOS_R!$T$44+(RESULTADOS_R!$T$45*AO88)+(RESULTADOS_R!$T$46*AO87)+(RESULTADOS_R!$T$47*AO86)+(RESULTADOS_R!$T$48*AO85)</f>
        <v>-1.7719110530990075E-3</v>
      </c>
      <c r="AU89">
        <f t="shared" si="13"/>
        <v>-3.4995274592065201E-3</v>
      </c>
      <c r="AV89" s="3"/>
      <c r="AW89" t="s">
        <v>133</v>
      </c>
      <c r="AX89" t="s">
        <v>299</v>
      </c>
      <c r="AY89">
        <v>3.9483086747970986E-3</v>
      </c>
      <c r="AZ89">
        <f>RESULTADOS_R!$T$49</f>
        <v>3.5589999999999998E-4</v>
      </c>
      <c r="BA89">
        <f t="shared" si="10"/>
        <v>3.5924086747970985E-3</v>
      </c>
    </row>
    <row r="90" spans="1:53" x14ac:dyDescent="0.25">
      <c r="A90" t="s">
        <v>133</v>
      </c>
      <c r="B90" t="s">
        <v>300</v>
      </c>
      <c r="C90">
        <v>-1.8571962369695657E-2</v>
      </c>
      <c r="D90">
        <f>RESULTADOS_R!$T$31</f>
        <v>2.8909999999999998E-4</v>
      </c>
      <c r="E90">
        <f t="shared" si="7"/>
        <v>-1.8861062369695657E-2</v>
      </c>
      <c r="F90" s="3"/>
      <c r="G90" t="s">
        <v>133</v>
      </c>
      <c r="H90" t="s">
        <v>300</v>
      </c>
      <c r="I90">
        <v>-1.5275251192969448E-3</v>
      </c>
      <c r="J90">
        <v>-1.2907012645449211E-3</v>
      </c>
      <c r="K90">
        <v>4.6915318711818747E-4</v>
      </c>
      <c r="L90">
        <v>-3.5188552354189486E-4</v>
      </c>
      <c r="M90">
        <v>3.5188552354189828E-4</v>
      </c>
      <c r="N90">
        <f>RESULTADOS_R!$T$32+(RESULTADOS_R!$T$33*I89)+(RESULTADOS_R!$T$34*I88)+(RESULTADOS_R!$T$35*I87)+(RESULTADOS_R!$T$36*I86)</f>
        <v>-3.0935569268985142E-4</v>
      </c>
      <c r="O90">
        <f t="shared" si="11"/>
        <v>-1.2181694266070933E-3</v>
      </c>
      <c r="P90" s="3"/>
      <c r="Q90" t="s">
        <v>133</v>
      </c>
      <c r="R90" t="s">
        <v>300</v>
      </c>
      <c r="S90">
        <v>-1.6942532606735967E-2</v>
      </c>
      <c r="T90">
        <f>RESULTADOS_R!$T$37</f>
        <v>-1.944E-3</v>
      </c>
      <c r="U90">
        <f t="shared" si="8"/>
        <v>-1.4998532606735967E-2</v>
      </c>
      <c r="V90" s="3"/>
      <c r="W90" t="s">
        <v>133</v>
      </c>
      <c r="X90" t="s">
        <v>300</v>
      </c>
      <c r="Y90">
        <v>-4.5103587815310597E-2</v>
      </c>
      <c r="Z90">
        <f>RESULTADOS_R!$T$38</f>
        <v>-1.799E-3</v>
      </c>
      <c r="AA90">
        <f t="shared" si="9"/>
        <v>-4.3304587815310595E-2</v>
      </c>
      <c r="AB90" s="3"/>
      <c r="AC90" t="s">
        <v>133</v>
      </c>
      <c r="AD90" t="s">
        <v>300</v>
      </c>
      <c r="AE90">
        <v>-2.0271244919328251E-3</v>
      </c>
      <c r="AF90">
        <v>-2.6763330998930135E-3</v>
      </c>
      <c r="AG90">
        <v>-1.771120243866242E-3</v>
      </c>
      <c r="AH90">
        <v>1.8150268326056905E-3</v>
      </c>
      <c r="AI90">
        <v>1.1370595706885785E-2</v>
      </c>
      <c r="AJ90">
        <f>RESULTADOS_R!$T$39+(RESULTADOS_R!$T$40*AE89)+(RESULTADOS_R!$T$41*AE88)+(RESULTADOS_R!$T$42*AE87)+(RESULTADOS_R!$T$43*AE86)</f>
        <v>7.6043403522197198E-4</v>
      </c>
      <c r="AK90">
        <f t="shared" si="12"/>
        <v>-2.7875585271547971E-3</v>
      </c>
      <c r="AL90" s="3"/>
      <c r="AM90" t="s">
        <v>133</v>
      </c>
      <c r="AN90" t="s">
        <v>300</v>
      </c>
      <c r="AO90">
        <v>2.1552372575034499E-2</v>
      </c>
      <c r="AP90">
        <v>-5.2714385123055277E-3</v>
      </c>
      <c r="AQ90">
        <v>-1.7582003333993486E-3</v>
      </c>
      <c r="AR90">
        <v>1.5228665372696671E-2</v>
      </c>
      <c r="AS90">
        <v>1.3779105567994091E-2</v>
      </c>
      <c r="AT90">
        <f>RESULTADOS_R!$T$44+(RESULTADOS_R!$T$45*AO89)+(RESULTADOS_R!$T$46*AO88)+(RESULTADOS_R!$T$47*AO87)+(RESULTADOS_R!$T$48*AO86)</f>
        <v>1.6570940935121885E-3</v>
      </c>
      <c r="AU90">
        <f t="shared" si="13"/>
        <v>1.989527848152231E-2</v>
      </c>
      <c r="AV90" s="3"/>
      <c r="AW90" t="s">
        <v>133</v>
      </c>
      <c r="AX90" t="s">
        <v>300</v>
      </c>
      <c r="AY90">
        <v>5.9403936926206782E-3</v>
      </c>
      <c r="AZ90">
        <f>RESULTADOS_R!$T$49</f>
        <v>3.5589999999999998E-4</v>
      </c>
      <c r="BA90">
        <f t="shared" si="10"/>
        <v>5.5844936926206781E-3</v>
      </c>
    </row>
    <row r="91" spans="1:53" x14ac:dyDescent="0.25">
      <c r="A91" t="s">
        <v>133</v>
      </c>
      <c r="B91" t="s">
        <v>301</v>
      </c>
      <c r="C91">
        <v>-9.725759711014071E-3</v>
      </c>
      <c r="D91">
        <f>RESULTADOS_R!$T$31</f>
        <v>2.8909999999999998E-4</v>
      </c>
      <c r="E91">
        <f t="shared" si="7"/>
        <v>-1.0014859711014071E-2</v>
      </c>
      <c r="F91" s="3"/>
      <c r="G91" t="s">
        <v>133</v>
      </c>
      <c r="H91" t="s">
        <v>301</v>
      </c>
      <c r="I91">
        <v>4.70256298343931E-4</v>
      </c>
      <c r="J91">
        <v>-1.5275251192969448E-3</v>
      </c>
      <c r="K91">
        <v>-1.2907012645449211E-3</v>
      </c>
      <c r="L91">
        <v>4.6915318711818747E-4</v>
      </c>
      <c r="M91">
        <v>-3.5188552354189486E-4</v>
      </c>
      <c r="N91">
        <f>RESULTADOS_R!$T$32+(RESULTADOS_R!$T$33*I90)+(RESULTADOS_R!$T$34*I89)+(RESULTADOS_R!$T$35*I88)+(RESULTADOS_R!$T$36*I87)</f>
        <v>1.5236497817955447E-4</v>
      </c>
      <c r="O91">
        <f t="shared" si="11"/>
        <v>3.1789132016437651E-4</v>
      </c>
      <c r="P91" s="3"/>
      <c r="Q91" t="s">
        <v>133</v>
      </c>
      <c r="R91" t="s">
        <v>301</v>
      </c>
      <c r="S91">
        <v>-1.5009870021823031E-2</v>
      </c>
      <c r="T91">
        <f>RESULTADOS_R!$T$37</f>
        <v>-1.944E-3</v>
      </c>
      <c r="U91">
        <f t="shared" si="8"/>
        <v>-1.3065870021823031E-2</v>
      </c>
      <c r="V91" s="3"/>
      <c r="W91" t="s">
        <v>133</v>
      </c>
      <c r="X91" t="s">
        <v>301</v>
      </c>
      <c r="Y91">
        <v>-2.1790331070056165E-2</v>
      </c>
      <c r="Z91">
        <f>RESULTADOS_R!$T$38</f>
        <v>-1.799E-3</v>
      </c>
      <c r="AA91">
        <f t="shared" si="9"/>
        <v>-1.9991331070056167E-2</v>
      </c>
      <c r="AB91" s="3"/>
      <c r="AC91" t="s">
        <v>133</v>
      </c>
      <c r="AD91" t="s">
        <v>301</v>
      </c>
      <c r="AE91">
        <v>1.44630959603384E-2</v>
      </c>
      <c r="AF91">
        <v>-2.0271244919328251E-3</v>
      </c>
      <c r="AG91">
        <v>-2.6763330998930135E-3</v>
      </c>
      <c r="AH91">
        <v>-1.771120243866242E-3</v>
      </c>
      <c r="AI91">
        <v>1.8150268326056905E-3</v>
      </c>
      <c r="AJ91">
        <f>RESULTADOS_R!$T$39+(RESULTADOS_R!$T$40*AE90)+(RESULTADOS_R!$T$41*AE89)+(RESULTADOS_R!$T$42*AE88)+(RESULTADOS_R!$T$43*AE87)</f>
        <v>6.9988015117841207E-4</v>
      </c>
      <c r="AK91">
        <f t="shared" si="12"/>
        <v>1.3763215809159988E-2</v>
      </c>
      <c r="AL91" s="3"/>
      <c r="AM91" t="s">
        <v>133</v>
      </c>
      <c r="AN91" t="s">
        <v>301</v>
      </c>
      <c r="AO91">
        <v>2.8307445485662028E-2</v>
      </c>
      <c r="AP91">
        <v>2.1552372575034499E-2</v>
      </c>
      <c r="AQ91">
        <v>-5.2714385123055277E-3</v>
      </c>
      <c r="AR91">
        <v>-1.7582003333993486E-3</v>
      </c>
      <c r="AS91">
        <v>1.5228665372696671E-2</v>
      </c>
      <c r="AT91">
        <f>RESULTADOS_R!$T$44+(RESULTADOS_R!$T$45*AO90)+(RESULTADOS_R!$T$46*AO89)+(RESULTADOS_R!$T$47*AO88)+(RESULTADOS_R!$T$48*AO87)</f>
        <v>6.862707900102071E-3</v>
      </c>
      <c r="AU91">
        <f t="shared" si="13"/>
        <v>2.1444737585559957E-2</v>
      </c>
      <c r="AV91" s="3"/>
      <c r="AW91" t="s">
        <v>133</v>
      </c>
      <c r="AX91" t="s">
        <v>301</v>
      </c>
      <c r="AY91">
        <v>-2.3216667857219441E-3</v>
      </c>
      <c r="AZ91">
        <f>RESULTADOS_R!$T$49</f>
        <v>3.5589999999999998E-4</v>
      </c>
      <c r="BA91">
        <f t="shared" si="10"/>
        <v>-2.6775667857219443E-3</v>
      </c>
    </row>
    <row r="92" spans="1:53" x14ac:dyDescent="0.25">
      <c r="A92" t="s">
        <v>133</v>
      </c>
      <c r="B92" t="s">
        <v>302</v>
      </c>
      <c r="C92">
        <v>-1.1114306633587381E-2</v>
      </c>
      <c r="D92">
        <f>RESULTADOS_R!$T$31</f>
        <v>2.8909999999999998E-4</v>
      </c>
      <c r="E92">
        <f t="shared" si="7"/>
        <v>-1.1403406633587382E-2</v>
      </c>
      <c r="F92" s="3"/>
      <c r="G92" t="s">
        <v>133</v>
      </c>
      <c r="H92" t="s">
        <v>302</v>
      </c>
      <c r="I92">
        <v>-2.3510050654896417E-4</v>
      </c>
      <c r="J92">
        <v>4.70256298343931E-4</v>
      </c>
      <c r="K92">
        <v>-1.5275251192969448E-3</v>
      </c>
      <c r="L92">
        <v>-1.2907012645449211E-3</v>
      </c>
      <c r="M92">
        <v>4.6915318711818747E-4</v>
      </c>
      <c r="N92">
        <f>RESULTADOS_R!$T$32+(RESULTADOS_R!$T$33*I91)+(RESULTADOS_R!$T$34*I90)+(RESULTADOS_R!$T$35*I89)+(RESULTADOS_R!$T$36*I88)</f>
        <v>-1.5865028789425811E-4</v>
      </c>
      <c r="O92">
        <f t="shared" si="11"/>
        <v>-7.6450218654706064E-5</v>
      </c>
      <c r="P92" s="3"/>
      <c r="Q92" t="s">
        <v>133</v>
      </c>
      <c r="R92" t="s">
        <v>302</v>
      </c>
      <c r="S92">
        <v>-2.5816736430002925E-2</v>
      </c>
      <c r="T92">
        <f>RESULTADOS_R!$T$37</f>
        <v>-1.944E-3</v>
      </c>
      <c r="U92">
        <f t="shared" si="8"/>
        <v>-2.3872736430002924E-2</v>
      </c>
      <c r="V92" s="3"/>
      <c r="W92" t="s">
        <v>133</v>
      </c>
      <c r="X92" t="s">
        <v>302</v>
      </c>
      <c r="Y92">
        <v>-3.1069135199579455E-2</v>
      </c>
      <c r="Z92">
        <f>RESULTADOS_R!$T$38</f>
        <v>-1.799E-3</v>
      </c>
      <c r="AA92">
        <f t="shared" si="9"/>
        <v>-2.9270135199579456E-2</v>
      </c>
      <c r="AB92" s="3"/>
      <c r="AC92" t="s">
        <v>133</v>
      </c>
      <c r="AD92" t="s">
        <v>302</v>
      </c>
      <c r="AE92">
        <v>-8.6996242899555279E-4</v>
      </c>
      <c r="AF92">
        <v>1.44630959603384E-2</v>
      </c>
      <c r="AG92">
        <v>-2.0271244919328251E-3</v>
      </c>
      <c r="AH92">
        <v>-2.6763330998930135E-3</v>
      </c>
      <c r="AI92">
        <v>-1.771120243866242E-3</v>
      </c>
      <c r="AJ92">
        <f>RESULTADOS_R!$T$39+(RESULTADOS_R!$T$40*AE91)+(RESULTADOS_R!$T$41*AE90)+(RESULTADOS_R!$T$42*AE89)+(RESULTADOS_R!$T$43*AE88)</f>
        <v>1.7852701748045398E-3</v>
      </c>
      <c r="AK92">
        <f t="shared" si="12"/>
        <v>-2.6552326038000928E-3</v>
      </c>
      <c r="AL92" s="3"/>
      <c r="AM92" t="s">
        <v>133</v>
      </c>
      <c r="AN92" t="s">
        <v>302</v>
      </c>
      <c r="AO92">
        <v>1.2625416143420547E-2</v>
      </c>
      <c r="AP92">
        <v>2.8307445485662028E-2</v>
      </c>
      <c r="AQ92">
        <v>2.1552372575034499E-2</v>
      </c>
      <c r="AR92">
        <v>-5.2714385123055277E-3</v>
      </c>
      <c r="AS92">
        <v>-1.7582003333993486E-3</v>
      </c>
      <c r="AT92">
        <f>RESULTADOS_R!$T$44+(RESULTADOS_R!$T$45*AO91)+(RESULTADOS_R!$T$46*AO90)+(RESULTADOS_R!$T$47*AO89)+(RESULTADOS_R!$T$48*AO88)</f>
        <v>1.8535626742488653E-3</v>
      </c>
      <c r="AU92">
        <f t="shared" si="13"/>
        <v>1.0771853469171682E-2</v>
      </c>
      <c r="AV92" s="3"/>
      <c r="AW92" t="s">
        <v>133</v>
      </c>
      <c r="AX92" t="s">
        <v>302</v>
      </c>
      <c r="AY92">
        <v>2.3530037785221762E-3</v>
      </c>
      <c r="AZ92">
        <f>RESULTADOS_R!$T$49</f>
        <v>3.5589999999999998E-4</v>
      </c>
      <c r="BA92">
        <f t="shared" si="10"/>
        <v>1.9971037785221761E-3</v>
      </c>
    </row>
    <row r="93" spans="1:53" x14ac:dyDescent="0.25">
      <c r="A93" t="s">
        <v>133</v>
      </c>
      <c r="B93" t="s">
        <v>303</v>
      </c>
      <c r="C93">
        <v>-1.9098389194465278E-2</v>
      </c>
      <c r="D93">
        <f>RESULTADOS_R!$T$31</f>
        <v>2.8909999999999998E-4</v>
      </c>
      <c r="E93">
        <f t="shared" si="7"/>
        <v>-1.9387489194465278E-2</v>
      </c>
      <c r="F93" s="3"/>
      <c r="G93" t="s">
        <v>133</v>
      </c>
      <c r="H93" t="s">
        <v>303</v>
      </c>
      <c r="I93">
        <v>8.226100704781282E-4</v>
      </c>
      <c r="J93">
        <v>-2.3510050654896417E-4</v>
      </c>
      <c r="K93">
        <v>4.70256298343931E-4</v>
      </c>
      <c r="L93">
        <v>-1.5275251192969448E-3</v>
      </c>
      <c r="M93">
        <v>-1.2907012645449211E-3</v>
      </c>
      <c r="N93">
        <f>RESULTADOS_R!$T$32+(RESULTADOS_R!$T$33*I92)+(RESULTADOS_R!$T$34*I91)+(RESULTADOS_R!$T$35*I90)+(RESULTADOS_R!$T$36*I89)</f>
        <v>2.7203715944755866E-4</v>
      </c>
      <c r="O93">
        <f t="shared" si="11"/>
        <v>5.505729110305696E-4</v>
      </c>
      <c r="P93" s="3"/>
      <c r="Q93" t="s">
        <v>133</v>
      </c>
      <c r="R93" t="s">
        <v>303</v>
      </c>
      <c r="S93">
        <v>-0.10960468426128968</v>
      </c>
      <c r="T93">
        <f>RESULTADOS_R!$T$37</f>
        <v>-1.944E-3</v>
      </c>
      <c r="U93">
        <f t="shared" si="8"/>
        <v>-0.10766068426128968</v>
      </c>
      <c r="V93" s="3"/>
      <c r="W93" t="s">
        <v>133</v>
      </c>
      <c r="X93" t="s">
        <v>303</v>
      </c>
      <c r="Y93">
        <v>-0.15978659288768002</v>
      </c>
      <c r="Z93">
        <f>RESULTADOS_R!$T$38</f>
        <v>-1.799E-3</v>
      </c>
      <c r="AA93">
        <f t="shared" si="9"/>
        <v>-0.15798759288768002</v>
      </c>
      <c r="AB93" s="3"/>
      <c r="AC93" t="s">
        <v>133</v>
      </c>
      <c r="AD93" t="s">
        <v>303</v>
      </c>
      <c r="AE93">
        <v>-2.7889766416709463E-3</v>
      </c>
      <c r="AF93">
        <v>-8.6996242899555279E-4</v>
      </c>
      <c r="AG93">
        <v>1.44630959603384E-2</v>
      </c>
      <c r="AH93">
        <v>-2.0271244919328251E-3</v>
      </c>
      <c r="AI93">
        <v>-2.6763330998930135E-3</v>
      </c>
      <c r="AJ93">
        <f>RESULTADOS_R!$T$39+(RESULTADOS_R!$T$40*AE92)+(RESULTADOS_R!$T$41*AE91)+(RESULTADOS_R!$T$42*AE90)+(RESULTADOS_R!$T$43*AE89)</f>
        <v>-2.6554535363520078E-3</v>
      </c>
      <c r="AK93">
        <f t="shared" si="12"/>
        <v>-1.3352310531893844E-4</v>
      </c>
      <c r="AL93" s="3"/>
      <c r="AM93" t="s">
        <v>133</v>
      </c>
      <c r="AN93" t="s">
        <v>303</v>
      </c>
      <c r="AO93">
        <v>-8.2038421168918862E-3</v>
      </c>
      <c r="AP93">
        <v>1.2625416143420547E-2</v>
      </c>
      <c r="AQ93">
        <v>2.8307445485662028E-2</v>
      </c>
      <c r="AR93">
        <v>2.1552372575034499E-2</v>
      </c>
      <c r="AS93">
        <v>-5.2714385123055277E-3</v>
      </c>
      <c r="AT93">
        <f>RESULTADOS_R!$T$44+(RESULTADOS_R!$T$45*AO92)+(RESULTADOS_R!$T$46*AO91)+(RESULTADOS_R!$T$47*AO90)+(RESULTADOS_R!$T$48*AO89)</f>
        <v>1.6850071387133092E-3</v>
      </c>
      <c r="AU93">
        <f t="shared" si="13"/>
        <v>-9.8888492556051949E-3</v>
      </c>
      <c r="AV93" s="3"/>
      <c r="AW93" t="s">
        <v>133</v>
      </c>
      <c r="AX93" t="s">
        <v>303</v>
      </c>
      <c r="AY93">
        <v>-9.7190370128726381E-4</v>
      </c>
      <c r="AZ93">
        <f>RESULTADOS_R!$T$49</f>
        <v>3.5589999999999998E-4</v>
      </c>
      <c r="BA93">
        <f t="shared" si="10"/>
        <v>-1.3278037012872637E-3</v>
      </c>
    </row>
    <row r="94" spans="1:53" x14ac:dyDescent="0.25">
      <c r="A94" t="s">
        <v>133</v>
      </c>
      <c r="B94" t="s">
        <v>304</v>
      </c>
      <c r="C94">
        <v>2.770210672563203E-3</v>
      </c>
      <c r="D94">
        <f>RESULTADOS_R!$T$31</f>
        <v>2.8909999999999998E-4</v>
      </c>
      <c r="E94">
        <f t="shared" si="7"/>
        <v>2.481110672563203E-3</v>
      </c>
      <c r="F94" s="3"/>
      <c r="G94" t="s">
        <v>133</v>
      </c>
      <c r="H94" t="s">
        <v>304</v>
      </c>
      <c r="I94">
        <v>5.8716459910196708E-4</v>
      </c>
      <c r="J94">
        <v>8.226100704781282E-4</v>
      </c>
      <c r="K94">
        <v>-2.3510050654896417E-4</v>
      </c>
      <c r="L94">
        <v>4.70256298343931E-4</v>
      </c>
      <c r="M94">
        <v>-1.5275251192969448E-3</v>
      </c>
      <c r="N94">
        <f>RESULTADOS_R!$T$32+(RESULTADOS_R!$T$33*I93)+(RESULTADOS_R!$T$34*I92)+(RESULTADOS_R!$T$35*I91)+(RESULTADOS_R!$T$36*I90)</f>
        <v>2.1341569135660614E-4</v>
      </c>
      <c r="O94">
        <f t="shared" si="11"/>
        <v>3.7374890774536095E-4</v>
      </c>
      <c r="P94" s="3"/>
      <c r="Q94" t="s">
        <v>133</v>
      </c>
      <c r="R94" t="s">
        <v>304</v>
      </c>
      <c r="S94">
        <v>5.3893344417981319E-3</v>
      </c>
      <c r="T94">
        <f>RESULTADOS_R!$T$37</f>
        <v>-1.944E-3</v>
      </c>
      <c r="U94">
        <f t="shared" si="8"/>
        <v>7.3333344417981314E-3</v>
      </c>
      <c r="V94" s="3"/>
      <c r="W94" t="s">
        <v>133</v>
      </c>
      <c r="X94" t="s">
        <v>304</v>
      </c>
      <c r="Y94">
        <v>-4.7056547479350078E-2</v>
      </c>
      <c r="Z94">
        <f>RESULTADOS_R!$T$38</f>
        <v>-1.799E-3</v>
      </c>
      <c r="AA94">
        <f t="shared" si="9"/>
        <v>-4.5257547479350076E-2</v>
      </c>
      <c r="AB94" s="3"/>
      <c r="AC94" t="s">
        <v>133</v>
      </c>
      <c r="AD94" t="s">
        <v>304</v>
      </c>
      <c r="AE94">
        <v>5.3423405901126602E-3</v>
      </c>
      <c r="AF94">
        <v>-2.7889766416709463E-3</v>
      </c>
      <c r="AG94">
        <v>-8.6996242899555279E-4</v>
      </c>
      <c r="AH94">
        <v>1.44630959603384E-2</v>
      </c>
      <c r="AI94">
        <v>-2.0271244919328251E-3</v>
      </c>
      <c r="AJ94">
        <f>RESULTADOS_R!$T$39+(RESULTADOS_R!$T$40*AE93)+(RESULTADOS_R!$T$41*AE92)+(RESULTADOS_R!$T$42*AE91)+(RESULTADOS_R!$T$43*AE90)</f>
        <v>2.2884181295579624E-4</v>
      </c>
      <c r="AK94">
        <f t="shared" si="12"/>
        <v>5.1134987771568642E-3</v>
      </c>
      <c r="AL94" s="3"/>
      <c r="AM94" t="s">
        <v>133</v>
      </c>
      <c r="AN94" t="s">
        <v>304</v>
      </c>
      <c r="AO94">
        <v>-1.1456020094407987E-2</v>
      </c>
      <c r="AP94">
        <v>-8.2038421168918862E-3</v>
      </c>
      <c r="AQ94">
        <v>1.2625416143420547E-2</v>
      </c>
      <c r="AR94">
        <v>2.8307445485662028E-2</v>
      </c>
      <c r="AS94">
        <v>2.1552372575034499E-2</v>
      </c>
      <c r="AT94">
        <f>RESULTADOS_R!$T$44+(RESULTADOS_R!$T$45*AO93)+(RESULTADOS_R!$T$46*AO92)+(RESULTADOS_R!$T$47*AO91)+(RESULTADOS_R!$T$48*AO90)</f>
        <v>-4.4556399093130463E-4</v>
      </c>
      <c r="AU94">
        <f t="shared" si="13"/>
        <v>-1.1010456103476682E-2</v>
      </c>
      <c r="AV94" s="3"/>
      <c r="AW94" t="s">
        <v>133</v>
      </c>
      <c r="AX94" t="s">
        <v>304</v>
      </c>
      <c r="AY94">
        <v>2.8816056690746192E-3</v>
      </c>
      <c r="AZ94">
        <f>RESULTADOS_R!$T$49</f>
        <v>3.5589999999999998E-4</v>
      </c>
      <c r="BA94">
        <f t="shared" si="10"/>
        <v>2.5257056690746191E-3</v>
      </c>
    </row>
    <row r="95" spans="1:53" x14ac:dyDescent="0.25">
      <c r="A95" t="s">
        <v>133</v>
      </c>
      <c r="B95" t="s">
        <v>305</v>
      </c>
      <c r="C95">
        <v>-1.2251336719231336E-2</v>
      </c>
      <c r="D95">
        <f>RESULTADOS_R!$T$31</f>
        <v>2.8909999999999998E-4</v>
      </c>
      <c r="E95">
        <f t="shared" si="7"/>
        <v>-1.2540436719231336E-2</v>
      </c>
      <c r="F95" s="3"/>
      <c r="G95" t="s">
        <v>133</v>
      </c>
      <c r="H95" t="s">
        <v>305</v>
      </c>
      <c r="I95">
        <v>-4.69704095061227E-4</v>
      </c>
      <c r="J95">
        <v>5.8716459910196708E-4</v>
      </c>
      <c r="K95">
        <v>8.226100704781282E-4</v>
      </c>
      <c r="L95">
        <v>-2.3510050654896417E-4</v>
      </c>
      <c r="M95">
        <v>4.70256298343931E-4</v>
      </c>
      <c r="N95">
        <f>RESULTADOS_R!$T$32+(RESULTADOS_R!$T$33*I94)+(RESULTADOS_R!$T$34*I93)+(RESULTADOS_R!$T$35*I92)+(RESULTADOS_R!$T$36*I91)</f>
        <v>-5.7965071077486574E-4</v>
      </c>
      <c r="O95">
        <f t="shared" si="11"/>
        <v>1.0994661571363875E-4</v>
      </c>
      <c r="P95" s="3"/>
      <c r="Q95" t="s">
        <v>133</v>
      </c>
      <c r="R95" t="s">
        <v>305</v>
      </c>
      <c r="S95">
        <v>8.1424067555898628E-3</v>
      </c>
      <c r="T95">
        <f>RESULTADOS_R!$T$37</f>
        <v>-1.944E-3</v>
      </c>
      <c r="U95">
        <f t="shared" si="8"/>
        <v>1.0086406755589862E-2</v>
      </c>
      <c r="V95" s="3"/>
      <c r="W95" t="s">
        <v>133</v>
      </c>
      <c r="X95" t="s">
        <v>305</v>
      </c>
      <c r="Y95">
        <v>6.3651039469554875E-3</v>
      </c>
      <c r="Z95">
        <f>RESULTADOS_R!$T$38</f>
        <v>-1.799E-3</v>
      </c>
      <c r="AA95">
        <f t="shared" si="9"/>
        <v>8.1641039469554869E-3</v>
      </c>
      <c r="AB95" s="3"/>
      <c r="AC95" t="s">
        <v>133</v>
      </c>
      <c r="AD95" t="s">
        <v>305</v>
      </c>
      <c r="AE95">
        <v>2.4386158586186227E-3</v>
      </c>
      <c r="AF95">
        <v>5.3423405901126602E-3</v>
      </c>
      <c r="AG95">
        <v>-2.7889766416709463E-3</v>
      </c>
      <c r="AH95">
        <v>-8.6996242899555279E-4</v>
      </c>
      <c r="AI95">
        <v>1.44630959603384E-2</v>
      </c>
      <c r="AJ95">
        <f>RESULTADOS_R!$T$39+(RESULTADOS_R!$T$40*AE94)+(RESULTADOS_R!$T$41*AE93)+(RESULTADOS_R!$T$42*AE92)+(RESULTADOS_R!$T$43*AE91)</f>
        <v>1.6792319614989881E-3</v>
      </c>
      <c r="AK95">
        <f t="shared" si="12"/>
        <v>7.5938389711963463E-4</v>
      </c>
      <c r="AL95" s="3"/>
      <c r="AM95" t="s">
        <v>133</v>
      </c>
      <c r="AN95" t="s">
        <v>305</v>
      </c>
      <c r="AO95">
        <v>-5.8279907723448746E-3</v>
      </c>
      <c r="AP95">
        <v>-1.1456020094407987E-2</v>
      </c>
      <c r="AQ95">
        <v>-8.2038421168918862E-3</v>
      </c>
      <c r="AR95">
        <v>1.2625416143420547E-2</v>
      </c>
      <c r="AS95">
        <v>2.8307445485662028E-2</v>
      </c>
      <c r="AT95">
        <f>RESULTADOS_R!$T$44+(RESULTADOS_R!$T$45*AO94)+(RESULTADOS_R!$T$46*AO93)+(RESULTADOS_R!$T$47*AO92)+(RESULTADOS_R!$T$48*AO91)</f>
        <v>6.1071912304291355E-5</v>
      </c>
      <c r="AU95">
        <f t="shared" si="13"/>
        <v>-5.8890626846491659E-3</v>
      </c>
      <c r="AV95" s="3"/>
      <c r="AW95" t="s">
        <v>133</v>
      </c>
      <c r="AX95" t="s">
        <v>305</v>
      </c>
      <c r="AY95">
        <v>3.1271825382781735E-4</v>
      </c>
      <c r="AZ95">
        <f>RESULTADOS_R!$T$49</f>
        <v>3.5589999999999998E-4</v>
      </c>
      <c r="BA95">
        <f t="shared" si="10"/>
        <v>-4.3181746172182628E-5</v>
      </c>
    </row>
    <row r="96" spans="1:53" x14ac:dyDescent="0.25">
      <c r="A96" t="s">
        <v>133</v>
      </c>
      <c r="B96" t="s">
        <v>306</v>
      </c>
      <c r="C96">
        <v>-1.4931718887884976E-3</v>
      </c>
      <c r="D96">
        <f>RESULTADOS_R!$T$31</f>
        <v>2.8909999999999998E-4</v>
      </c>
      <c r="E96">
        <f t="shared" si="7"/>
        <v>-1.7822718887884976E-3</v>
      </c>
      <c r="F96" s="3"/>
      <c r="G96" t="s">
        <v>133</v>
      </c>
      <c r="H96" t="s">
        <v>306</v>
      </c>
      <c r="I96">
        <v>-1.7633578894715109E-3</v>
      </c>
      <c r="J96">
        <v>-4.69704095061227E-4</v>
      </c>
      <c r="K96">
        <v>5.8716459910196708E-4</v>
      </c>
      <c r="L96">
        <v>8.226100704781282E-4</v>
      </c>
      <c r="M96">
        <v>-2.3510050654896417E-4</v>
      </c>
      <c r="N96">
        <f>RESULTADOS_R!$T$32+(RESULTADOS_R!$T$33*I95)+(RESULTADOS_R!$T$34*I94)+(RESULTADOS_R!$T$35*I93)+(RESULTADOS_R!$T$36*I92)</f>
        <v>-2.7627066362879987E-4</v>
      </c>
      <c r="O96">
        <f t="shared" si="11"/>
        <v>-1.4870872258427111E-3</v>
      </c>
      <c r="P96" s="3"/>
      <c r="Q96" t="s">
        <v>133</v>
      </c>
      <c r="R96" t="s">
        <v>306</v>
      </c>
      <c r="S96">
        <v>-2.7607325080347619E-3</v>
      </c>
      <c r="T96">
        <f>RESULTADOS_R!$T$37</f>
        <v>-1.944E-3</v>
      </c>
      <c r="U96">
        <f t="shared" si="8"/>
        <v>-8.1673250803476196E-4</v>
      </c>
      <c r="V96" s="3"/>
      <c r="W96" t="s">
        <v>133</v>
      </c>
      <c r="X96" t="s">
        <v>306</v>
      </c>
      <c r="Y96">
        <v>4.9128454213745905E-3</v>
      </c>
      <c r="Z96">
        <f>RESULTADOS_R!$T$38</f>
        <v>-1.799E-3</v>
      </c>
      <c r="AA96">
        <f t="shared" si="9"/>
        <v>6.7118454213745907E-3</v>
      </c>
      <c r="AB96" s="3"/>
      <c r="AC96" t="s">
        <v>133</v>
      </c>
      <c r="AD96" t="s">
        <v>306</v>
      </c>
      <c r="AE96">
        <v>-1.6062849454618673E-2</v>
      </c>
      <c r="AF96">
        <v>2.4386158586186227E-3</v>
      </c>
      <c r="AG96">
        <v>5.3423405901126602E-3</v>
      </c>
      <c r="AH96">
        <v>-2.7889766416709463E-3</v>
      </c>
      <c r="AI96">
        <v>-8.6996242899555279E-4</v>
      </c>
      <c r="AJ96">
        <f>RESULTADOS_R!$T$39+(RESULTADOS_R!$T$40*AE95)+(RESULTADOS_R!$T$41*AE94)+(RESULTADOS_R!$T$42*AE93)+(RESULTADOS_R!$T$43*AE92)</f>
        <v>-5.7603163168841909E-4</v>
      </c>
      <c r="AK96">
        <f t="shared" si="12"/>
        <v>-1.5486817822930253E-2</v>
      </c>
      <c r="AL96" s="3"/>
      <c r="AM96" t="s">
        <v>133</v>
      </c>
      <c r="AN96" t="s">
        <v>306</v>
      </c>
      <c r="AO96">
        <v>-1.4098379276337154E-2</v>
      </c>
      <c r="AP96">
        <v>-5.8279907723448746E-3</v>
      </c>
      <c r="AQ96">
        <v>-1.1456020094407987E-2</v>
      </c>
      <c r="AR96">
        <v>-8.2038421168918862E-3</v>
      </c>
      <c r="AS96">
        <v>1.2625416143420547E-2</v>
      </c>
      <c r="AT96">
        <f>RESULTADOS_R!$T$44+(RESULTADOS_R!$T$45*AO95)+(RESULTADOS_R!$T$46*AO94)+(RESULTADOS_R!$T$47*AO93)+(RESULTADOS_R!$T$48*AO92)</f>
        <v>-1.3894121347644865E-3</v>
      </c>
      <c r="AU96">
        <f t="shared" si="13"/>
        <v>-1.2708967141572668E-2</v>
      </c>
      <c r="AV96" s="3"/>
      <c r="AW96" t="s">
        <v>133</v>
      </c>
      <c r="AX96" t="s">
        <v>306</v>
      </c>
      <c r="AY96">
        <v>4.5960837490931373E-3</v>
      </c>
      <c r="AZ96">
        <f>RESULTADOS_R!$T$49</f>
        <v>3.5589999999999998E-4</v>
      </c>
      <c r="BA96">
        <f t="shared" si="10"/>
        <v>4.2401837490931371E-3</v>
      </c>
    </row>
    <row r="97" spans="1:53" x14ac:dyDescent="0.25">
      <c r="A97" t="s">
        <v>133</v>
      </c>
      <c r="B97" t="s">
        <v>307</v>
      </c>
      <c r="C97">
        <v>-5.39395526594935E-3</v>
      </c>
      <c r="D97">
        <f>RESULTADOS_R!$T$31</f>
        <v>2.8909999999999998E-4</v>
      </c>
      <c r="E97">
        <f t="shared" si="7"/>
        <v>-5.6830552659493496E-3</v>
      </c>
      <c r="F97" s="3"/>
      <c r="G97" t="s">
        <v>133</v>
      </c>
      <c r="H97" t="s">
        <v>307</v>
      </c>
      <c r="I97">
        <v>-8.2396567547947787E-4</v>
      </c>
      <c r="J97">
        <v>-1.7633578894715109E-3</v>
      </c>
      <c r="K97">
        <v>-4.69704095061227E-4</v>
      </c>
      <c r="L97">
        <v>5.8716459910196708E-4</v>
      </c>
      <c r="M97">
        <v>8.226100704781282E-4</v>
      </c>
      <c r="N97">
        <f>RESULTADOS_R!$T$32+(RESULTADOS_R!$T$33*I96)+(RESULTADOS_R!$T$34*I95)+(RESULTADOS_R!$T$35*I94)+(RESULTADOS_R!$T$36*I93)</f>
        <v>-3.7267096394190223E-4</v>
      </c>
      <c r="O97">
        <f t="shared" si="11"/>
        <v>-4.5129471153757564E-4</v>
      </c>
      <c r="P97" s="3"/>
      <c r="Q97" t="s">
        <v>133</v>
      </c>
      <c r="R97" t="s">
        <v>307</v>
      </c>
      <c r="S97">
        <v>7.7337955749726987E-3</v>
      </c>
      <c r="T97">
        <f>RESULTADOS_R!$T$37</f>
        <v>-1.944E-3</v>
      </c>
      <c r="U97">
        <f t="shared" si="8"/>
        <v>9.6777955749726991E-3</v>
      </c>
      <c r="V97" s="3"/>
      <c r="W97" t="s">
        <v>133</v>
      </c>
      <c r="X97" t="s">
        <v>307</v>
      </c>
      <c r="Y97">
        <v>-1.8413410864305202E-2</v>
      </c>
      <c r="Z97">
        <f>RESULTADOS_R!$T$38</f>
        <v>-1.799E-3</v>
      </c>
      <c r="AA97">
        <f t="shared" si="9"/>
        <v>-1.6614410864305203E-2</v>
      </c>
      <c r="AB97" s="3"/>
      <c r="AC97" t="s">
        <v>133</v>
      </c>
      <c r="AD97" t="s">
        <v>307</v>
      </c>
      <c r="AE97">
        <v>-1.1957106242592776E-2</v>
      </c>
      <c r="AF97">
        <v>-1.6062849454618673E-2</v>
      </c>
      <c r="AG97">
        <v>2.4386158586186227E-3</v>
      </c>
      <c r="AH97">
        <v>5.3423405901126602E-3</v>
      </c>
      <c r="AI97">
        <v>-2.7889766416709463E-3</v>
      </c>
      <c r="AJ97">
        <f>RESULTADOS_R!$T$39+(RESULTADOS_R!$T$40*AE96)+(RESULTADOS_R!$T$41*AE95)+(RESULTADOS_R!$T$42*AE94)+(RESULTADOS_R!$T$43*AE93)</f>
        <v>-1.5225480642761195E-3</v>
      </c>
      <c r="AK97">
        <f t="shared" si="12"/>
        <v>-1.0434558178316657E-2</v>
      </c>
      <c r="AL97" s="3"/>
      <c r="AM97" t="s">
        <v>133</v>
      </c>
      <c r="AN97" t="s">
        <v>307</v>
      </c>
      <c r="AO97">
        <v>-3.2100164687277319E-2</v>
      </c>
      <c r="AP97">
        <v>-1.4098379276337154E-2</v>
      </c>
      <c r="AQ97">
        <v>-5.8279907723448746E-3</v>
      </c>
      <c r="AR97">
        <v>-1.1456020094407987E-2</v>
      </c>
      <c r="AS97">
        <v>-8.2038421168918862E-3</v>
      </c>
      <c r="AT97">
        <f>RESULTADOS_R!$T$44+(RESULTADOS_R!$T$45*AO96)+(RESULTADOS_R!$T$46*AO95)+(RESULTADOS_R!$T$47*AO94)+(RESULTADOS_R!$T$48*AO93)</f>
        <v>-5.1206161039961179E-3</v>
      </c>
      <c r="AU97">
        <f t="shared" si="13"/>
        <v>-2.69795485832812E-2</v>
      </c>
      <c r="AV97" s="3"/>
      <c r="AW97" t="s">
        <v>133</v>
      </c>
      <c r="AX97" t="s">
        <v>307</v>
      </c>
      <c r="AY97">
        <v>8.9339332627786632E-3</v>
      </c>
      <c r="AZ97">
        <f>RESULTADOS_R!$T$49</f>
        <v>3.5589999999999998E-4</v>
      </c>
      <c r="BA97">
        <f t="shared" si="10"/>
        <v>8.5780332627786639E-3</v>
      </c>
    </row>
    <row r="98" spans="1:53" x14ac:dyDescent="0.25">
      <c r="A98" t="s">
        <v>133</v>
      </c>
      <c r="B98" t="s">
        <v>308</v>
      </c>
      <c r="C98">
        <v>2.4069484948878624E-2</v>
      </c>
      <c r="D98">
        <f>RESULTADOS_R!$T$31</f>
        <v>2.8909999999999998E-4</v>
      </c>
      <c r="E98">
        <f t="shared" si="7"/>
        <v>2.3780384948878623E-2</v>
      </c>
      <c r="F98" s="3"/>
      <c r="G98" t="s">
        <v>133</v>
      </c>
      <c r="H98" t="s">
        <v>308</v>
      </c>
      <c r="I98">
        <v>3.5321128288574524E-4</v>
      </c>
      <c r="J98">
        <v>-8.2396567547947787E-4</v>
      </c>
      <c r="K98">
        <v>-1.7633578894715109E-3</v>
      </c>
      <c r="L98">
        <v>-4.69704095061227E-4</v>
      </c>
      <c r="M98">
        <v>5.8716459910196708E-4</v>
      </c>
      <c r="N98">
        <f>RESULTADOS_R!$T$32+(RESULTADOS_R!$T$33*I97)+(RESULTADOS_R!$T$34*I96)+(RESULTADOS_R!$T$35*I95)+(RESULTADOS_R!$T$36*I94)</f>
        <v>-1.1185793212348035E-4</v>
      </c>
      <c r="O98">
        <f t="shared" si="11"/>
        <v>4.6506921500922562E-4</v>
      </c>
      <c r="P98" s="3"/>
      <c r="Q98" t="s">
        <v>133</v>
      </c>
      <c r="R98" t="s">
        <v>308</v>
      </c>
      <c r="S98">
        <v>1.724753930804029E-2</v>
      </c>
      <c r="T98">
        <f>RESULTADOS_R!$T$37</f>
        <v>-1.944E-3</v>
      </c>
      <c r="U98">
        <f t="shared" si="8"/>
        <v>1.9191539308040292E-2</v>
      </c>
      <c r="V98" s="3"/>
      <c r="W98" t="s">
        <v>133</v>
      </c>
      <c r="X98" t="s">
        <v>308</v>
      </c>
      <c r="Y98">
        <v>4.9945344233368889E-2</v>
      </c>
      <c r="Z98">
        <f>RESULTADOS_R!$T$38</f>
        <v>-1.799E-3</v>
      </c>
      <c r="AA98">
        <f t="shared" si="9"/>
        <v>5.1744344233368891E-2</v>
      </c>
      <c r="AB98" s="3"/>
      <c r="AC98" t="s">
        <v>133</v>
      </c>
      <c r="AD98" t="s">
        <v>308</v>
      </c>
      <c r="AE98">
        <v>-3.0550205779660421E-3</v>
      </c>
      <c r="AF98">
        <v>-1.1957106242592776E-2</v>
      </c>
      <c r="AG98">
        <v>-1.6062849454618673E-2</v>
      </c>
      <c r="AH98">
        <v>2.4386158586186227E-3</v>
      </c>
      <c r="AI98">
        <v>5.3423405901126602E-3</v>
      </c>
      <c r="AJ98">
        <f>RESULTADOS_R!$T$39+(RESULTADOS_R!$T$40*AE97)+(RESULTADOS_R!$T$41*AE96)+(RESULTADOS_R!$T$42*AE95)+(RESULTADOS_R!$T$43*AE94)</f>
        <v>2.6123613496338203E-3</v>
      </c>
      <c r="AK98">
        <f t="shared" si="12"/>
        <v>-5.6673819275998624E-3</v>
      </c>
      <c r="AL98" s="3"/>
      <c r="AM98" t="s">
        <v>133</v>
      </c>
      <c r="AN98" t="s">
        <v>308</v>
      </c>
      <c r="AO98">
        <v>-1.4332654490088666E-2</v>
      </c>
      <c r="AP98">
        <v>-3.2100164687277319E-2</v>
      </c>
      <c r="AQ98">
        <v>-1.4098379276337154E-2</v>
      </c>
      <c r="AR98">
        <v>-5.8279907723448746E-3</v>
      </c>
      <c r="AS98">
        <v>-1.1456020094407987E-2</v>
      </c>
      <c r="AT98">
        <f>RESULTADOS_R!$T$44+(RESULTADOS_R!$T$45*AO97)+(RESULTADOS_R!$T$46*AO96)+(RESULTADOS_R!$T$47*AO95)+(RESULTADOS_R!$T$48*AO94)</f>
        <v>-7.002587802581851E-3</v>
      </c>
      <c r="AU98">
        <f t="shared" si="13"/>
        <v>-7.330066687506815E-3</v>
      </c>
      <c r="AV98" s="3"/>
      <c r="AW98" t="s">
        <v>133</v>
      </c>
      <c r="AX98" t="s">
        <v>308</v>
      </c>
      <c r="AY98">
        <v>1.5422182269361588E-4</v>
      </c>
      <c r="AZ98">
        <f>RESULTADOS_R!$T$49</f>
        <v>3.5589999999999998E-4</v>
      </c>
      <c r="BA98">
        <f t="shared" si="10"/>
        <v>-2.016781773063841E-4</v>
      </c>
    </row>
    <row r="99" spans="1:53" x14ac:dyDescent="0.25">
      <c r="A99" t="s">
        <v>133</v>
      </c>
      <c r="B99" t="s">
        <v>309</v>
      </c>
      <c r="C99">
        <v>1.8709682391719981E-2</v>
      </c>
      <c r="D99">
        <f>RESULTADOS_R!$T$31</f>
        <v>2.8909999999999998E-4</v>
      </c>
      <c r="E99">
        <f t="shared" si="7"/>
        <v>1.8420582391719981E-2</v>
      </c>
      <c r="F99" s="3"/>
      <c r="G99" t="s">
        <v>133</v>
      </c>
      <c r="H99" t="s">
        <v>309</v>
      </c>
      <c r="I99">
        <v>0</v>
      </c>
      <c r="J99">
        <v>3.5321128288574524E-4</v>
      </c>
      <c r="K99">
        <v>-8.2396567547947787E-4</v>
      </c>
      <c r="L99">
        <v>-1.7633578894715109E-3</v>
      </c>
      <c r="M99">
        <v>-4.69704095061227E-4</v>
      </c>
      <c r="N99">
        <f>RESULTADOS_R!$T$32+(RESULTADOS_R!$T$33*I98)+(RESULTADOS_R!$T$34*I97)+(RESULTADOS_R!$T$35*I96)+(RESULTADOS_R!$T$36*I95)</f>
        <v>1.2455065978915061E-4</v>
      </c>
      <c r="O99">
        <f t="shared" si="11"/>
        <v>-1.2455065978915061E-4</v>
      </c>
      <c r="P99" s="3"/>
      <c r="Q99" t="s">
        <v>133</v>
      </c>
      <c r="R99" t="s">
        <v>309</v>
      </c>
      <c r="S99">
        <v>1.8325314742733162E-2</v>
      </c>
      <c r="T99">
        <f>RESULTADOS_R!$T$37</f>
        <v>-1.944E-3</v>
      </c>
      <c r="U99">
        <f t="shared" si="8"/>
        <v>2.0269314742733163E-2</v>
      </c>
      <c r="V99" s="3"/>
      <c r="W99" t="s">
        <v>133</v>
      </c>
      <c r="X99" t="s">
        <v>309</v>
      </c>
      <c r="Y99">
        <v>5.3948875333517644E-2</v>
      </c>
      <c r="Z99">
        <f>RESULTADOS_R!$T$38</f>
        <v>-1.799E-3</v>
      </c>
      <c r="AA99">
        <f t="shared" si="9"/>
        <v>5.5747875333517646E-2</v>
      </c>
      <c r="AB99" s="3"/>
      <c r="AC99" t="s">
        <v>133</v>
      </c>
      <c r="AD99" t="s">
        <v>309</v>
      </c>
      <c r="AE99">
        <v>3.0327549377445985E-3</v>
      </c>
      <c r="AF99">
        <v>-3.0550205779660421E-3</v>
      </c>
      <c r="AG99">
        <v>-1.1957106242592776E-2</v>
      </c>
      <c r="AH99">
        <v>-1.6062849454618673E-2</v>
      </c>
      <c r="AI99">
        <v>2.4386158586186227E-3</v>
      </c>
      <c r="AJ99">
        <f>RESULTADOS_R!$T$39+(RESULTADOS_R!$T$40*AE98)+(RESULTADOS_R!$T$41*AE97)+(RESULTADOS_R!$T$42*AE96)+(RESULTADOS_R!$T$43*AE95)</f>
        <v>2.3874036800818196E-3</v>
      </c>
      <c r="AK99">
        <f t="shared" si="12"/>
        <v>6.4535125766277887E-4</v>
      </c>
      <c r="AL99" s="3"/>
      <c r="AM99" t="s">
        <v>133</v>
      </c>
      <c r="AN99" t="s">
        <v>309</v>
      </c>
      <c r="AO99">
        <v>7.7145874180925046E-4</v>
      </c>
      <c r="AP99">
        <v>-1.4332654490088666E-2</v>
      </c>
      <c r="AQ99">
        <v>-3.2100164687277319E-2</v>
      </c>
      <c r="AR99">
        <v>-1.4098379276337154E-2</v>
      </c>
      <c r="AS99">
        <v>-5.8279907723448746E-3</v>
      </c>
      <c r="AT99">
        <f>RESULTADOS_R!$T$44+(RESULTADOS_R!$T$45*AO98)+(RESULTADOS_R!$T$46*AO97)+(RESULTADOS_R!$T$47*AO96)+(RESULTADOS_R!$T$48*AO95)</f>
        <v>1.1055775531158898E-3</v>
      </c>
      <c r="AU99">
        <f t="shared" si="13"/>
        <v>-3.3411881130663938E-4</v>
      </c>
      <c r="AV99" s="3"/>
      <c r="AW99" t="s">
        <v>133</v>
      </c>
      <c r="AX99" t="s">
        <v>309</v>
      </c>
      <c r="AY99">
        <v>-7.5331866490020733E-3</v>
      </c>
      <c r="AZ99">
        <f>RESULTADOS_R!$T$49</f>
        <v>3.5589999999999998E-4</v>
      </c>
      <c r="BA99">
        <f t="shared" si="10"/>
        <v>-7.8890866490020726E-3</v>
      </c>
    </row>
    <row r="100" spans="1:53" x14ac:dyDescent="0.25">
      <c r="A100" t="s">
        <v>133</v>
      </c>
      <c r="B100" t="s">
        <v>310</v>
      </c>
      <c r="C100">
        <v>6.8196377785755408E-3</v>
      </c>
      <c r="D100">
        <f>RESULTADOS_R!$T$31</f>
        <v>2.8909999999999998E-4</v>
      </c>
      <c r="E100">
        <f t="shared" si="7"/>
        <v>6.5305377785755412E-3</v>
      </c>
      <c r="F100" s="3"/>
      <c r="G100" t="s">
        <v>133</v>
      </c>
      <c r="H100" t="s">
        <v>310</v>
      </c>
      <c r="I100">
        <v>-3.5321128288574974E-4</v>
      </c>
      <c r="J100">
        <v>0</v>
      </c>
      <c r="K100">
        <v>3.5321128288574524E-4</v>
      </c>
      <c r="L100">
        <v>-8.2396567547947787E-4</v>
      </c>
      <c r="M100">
        <v>-1.7633578894715109E-3</v>
      </c>
      <c r="N100">
        <f>RESULTADOS_R!$T$32+(RESULTADOS_R!$T$33*I99)+(RESULTADOS_R!$T$34*I98)+(RESULTADOS_R!$T$35*I97)+(RESULTADOS_R!$T$36*I96)</f>
        <v>3.8495167820005468E-4</v>
      </c>
      <c r="O100">
        <f t="shared" si="11"/>
        <v>-7.3816296108580436E-4</v>
      </c>
      <c r="P100" s="3"/>
      <c r="Q100" t="s">
        <v>133</v>
      </c>
      <c r="R100" t="s">
        <v>310</v>
      </c>
      <c r="S100">
        <v>6.7372620733818092E-3</v>
      </c>
      <c r="T100">
        <f>RESULTADOS_R!$T$37</f>
        <v>-1.944E-3</v>
      </c>
      <c r="U100">
        <f t="shared" si="8"/>
        <v>8.6812620733818097E-3</v>
      </c>
      <c r="V100" s="3"/>
      <c r="W100" t="s">
        <v>133</v>
      </c>
      <c r="X100" t="s">
        <v>310</v>
      </c>
      <c r="Y100">
        <v>3.7898994161898625E-2</v>
      </c>
      <c r="Z100">
        <f>RESULTADOS_R!$T$38</f>
        <v>-1.799E-3</v>
      </c>
      <c r="AA100">
        <f t="shared" si="9"/>
        <v>3.9697994161898627E-2</v>
      </c>
      <c r="AB100" s="3"/>
      <c r="AC100" t="s">
        <v>133</v>
      </c>
      <c r="AD100" t="s">
        <v>310</v>
      </c>
      <c r="AE100">
        <v>2.324082533512184E-3</v>
      </c>
      <c r="AF100">
        <v>3.0327549377445985E-3</v>
      </c>
      <c r="AG100">
        <v>-3.0550205779660421E-3</v>
      </c>
      <c r="AH100">
        <v>-1.1957106242592776E-2</v>
      </c>
      <c r="AI100">
        <v>-1.6062849454618673E-2</v>
      </c>
      <c r="AJ100">
        <f>RESULTADOS_R!$T$39+(RESULTADOS_R!$T$40*AE99)+(RESULTADOS_R!$T$41*AE98)+(RESULTADOS_R!$T$42*AE97)+(RESULTADOS_R!$T$43*AE96)</f>
        <v>6.2851904571690218E-4</v>
      </c>
      <c r="AK100">
        <f t="shared" si="12"/>
        <v>1.6955634877952818E-3</v>
      </c>
      <c r="AL100" s="3"/>
      <c r="AM100" t="s">
        <v>133</v>
      </c>
      <c r="AN100" t="s">
        <v>310</v>
      </c>
      <c r="AO100">
        <v>8.8668170655683033E-3</v>
      </c>
      <c r="AP100">
        <v>7.7145874180925046E-4</v>
      </c>
      <c r="AQ100">
        <v>-1.4332654490088666E-2</v>
      </c>
      <c r="AR100">
        <v>-3.2100164687277319E-2</v>
      </c>
      <c r="AS100">
        <v>-1.4098379276337154E-2</v>
      </c>
      <c r="AT100">
        <f>RESULTADOS_R!$T$44+(RESULTADOS_R!$T$45*AO99)+(RESULTADOS_R!$T$46*AO98)+(RESULTADOS_R!$T$47*AO97)+(RESULTADOS_R!$T$48*AO96)</f>
        <v>-2.7669403307521104E-3</v>
      </c>
      <c r="AU100">
        <f t="shared" si="13"/>
        <v>1.1633757396320414E-2</v>
      </c>
      <c r="AV100" s="3"/>
      <c r="AW100" t="s">
        <v>133</v>
      </c>
      <c r="AX100" t="s">
        <v>310</v>
      </c>
      <c r="AY100">
        <v>-1.6068423827921925E-3</v>
      </c>
      <c r="AZ100">
        <f>RESULTADOS_R!$T$49</f>
        <v>3.5589999999999998E-4</v>
      </c>
      <c r="BA100">
        <f t="shared" si="10"/>
        <v>-1.9627423827921924E-3</v>
      </c>
    </row>
    <row r="101" spans="1:53" x14ac:dyDescent="0.25">
      <c r="A101" t="s">
        <v>133</v>
      </c>
      <c r="B101" t="s">
        <v>311</v>
      </c>
      <c r="C101">
        <v>9.3915903899076669E-3</v>
      </c>
      <c r="D101">
        <f>RESULTADOS_R!$T$31</f>
        <v>2.8909999999999998E-4</v>
      </c>
      <c r="E101">
        <f t="shared" si="7"/>
        <v>9.1024903899076665E-3</v>
      </c>
      <c r="F101" s="3"/>
      <c r="G101" t="s">
        <v>133</v>
      </c>
      <c r="H101" t="s">
        <v>311</v>
      </c>
      <c r="I101">
        <v>2.3548805006979711E-4</v>
      </c>
      <c r="J101">
        <v>-3.5321128288574974E-4</v>
      </c>
      <c r="K101">
        <v>0</v>
      </c>
      <c r="L101">
        <v>3.5321128288574524E-4</v>
      </c>
      <c r="M101">
        <v>-8.2396567547947787E-4</v>
      </c>
      <c r="N101">
        <f>RESULTADOS_R!$T$32+(RESULTADOS_R!$T$33*I100)+(RESULTADOS_R!$T$34*I99)+(RESULTADOS_R!$T$35*I98)+(RESULTADOS_R!$T$36*I97)</f>
        <v>4.2294060420298659E-5</v>
      </c>
      <c r="O101">
        <f t="shared" si="11"/>
        <v>1.9319398964949845E-4</v>
      </c>
      <c r="P101" s="3"/>
      <c r="Q101" t="s">
        <v>133</v>
      </c>
      <c r="R101" t="s">
        <v>311</v>
      </c>
      <c r="S101">
        <v>-4.7310702458112565E-2</v>
      </c>
      <c r="T101">
        <f>RESULTADOS_R!$T$37</f>
        <v>-1.944E-3</v>
      </c>
      <c r="U101">
        <f t="shared" si="8"/>
        <v>-4.5366702458112564E-2</v>
      </c>
      <c r="V101" s="3"/>
      <c r="W101" t="s">
        <v>133</v>
      </c>
      <c r="X101" t="s">
        <v>311</v>
      </c>
      <c r="Y101">
        <v>-3.9919030056696655E-2</v>
      </c>
      <c r="Z101">
        <f>RESULTADOS_R!$T$38</f>
        <v>-1.799E-3</v>
      </c>
      <c r="AA101">
        <f t="shared" si="9"/>
        <v>-3.8120030056696654E-2</v>
      </c>
      <c r="AB101" s="3"/>
      <c r="AC101" t="s">
        <v>133</v>
      </c>
      <c r="AD101" t="s">
        <v>311</v>
      </c>
      <c r="AE101">
        <v>3.2435607772528228E-3</v>
      </c>
      <c r="AF101">
        <v>2.324082533512184E-3</v>
      </c>
      <c r="AG101">
        <v>3.0327549377445985E-3</v>
      </c>
      <c r="AH101">
        <v>-3.0550205779660421E-3</v>
      </c>
      <c r="AI101">
        <v>-1.1957106242592776E-2</v>
      </c>
      <c r="AJ101">
        <f>RESULTADOS_R!$T$39+(RESULTADOS_R!$T$40*AE100)+(RESULTADOS_R!$T$41*AE99)+(RESULTADOS_R!$T$42*AE98)+(RESULTADOS_R!$T$43*AE97)</f>
        <v>-4.597799649683144E-4</v>
      </c>
      <c r="AK101">
        <f t="shared" si="12"/>
        <v>3.7033407422211373E-3</v>
      </c>
      <c r="AL101" s="3"/>
      <c r="AM101" t="s">
        <v>133</v>
      </c>
      <c r="AN101" t="s">
        <v>311</v>
      </c>
      <c r="AO101">
        <v>-4.109797948593641E-4</v>
      </c>
      <c r="AP101">
        <v>8.8668170655683033E-3</v>
      </c>
      <c r="AQ101">
        <v>7.7145874180925046E-4</v>
      </c>
      <c r="AR101">
        <v>-1.4332654490088666E-2</v>
      </c>
      <c r="AS101">
        <v>-3.2100164687277319E-2</v>
      </c>
      <c r="AT101">
        <f>RESULTADOS_R!$T$44+(RESULTADOS_R!$T$45*AO100)+(RESULTADOS_R!$T$46*AO99)+(RESULTADOS_R!$T$47*AO98)+(RESULTADOS_R!$T$48*AO97)</f>
        <v>8.7193444757313978E-4</v>
      </c>
      <c r="AU101">
        <f t="shared" si="13"/>
        <v>-1.2829142424325038E-3</v>
      </c>
      <c r="AV101" s="3"/>
      <c r="AW101" t="s">
        <v>133</v>
      </c>
      <c r="AX101" t="s">
        <v>311</v>
      </c>
      <c r="AY101">
        <v>-4.6692853694222086E-3</v>
      </c>
      <c r="AZ101">
        <f>RESULTADOS_R!$T$49</f>
        <v>3.5589999999999998E-4</v>
      </c>
      <c r="BA101">
        <f t="shared" si="10"/>
        <v>-5.0251853694222087E-3</v>
      </c>
    </row>
    <row r="102" spans="1:53" x14ac:dyDescent="0.25">
      <c r="A102" t="s">
        <v>130</v>
      </c>
      <c r="B102" t="s">
        <v>312</v>
      </c>
      <c r="C102">
        <v>-2.4706775762094239E-2</v>
      </c>
      <c r="D102">
        <f>RESULTADOS_R!$T$31</f>
        <v>2.8909999999999998E-4</v>
      </c>
      <c r="E102">
        <f t="shared" si="7"/>
        <v>-2.4995875762094239E-2</v>
      </c>
      <c r="F102" s="3"/>
      <c r="G102" t="s">
        <v>130</v>
      </c>
      <c r="H102" t="s">
        <v>312</v>
      </c>
      <c r="I102">
        <v>-8.2445090353954376E-4</v>
      </c>
      <c r="J102">
        <v>2.3548805006979711E-4</v>
      </c>
      <c r="K102">
        <v>-3.5321128288574974E-4</v>
      </c>
      <c r="L102">
        <v>0</v>
      </c>
      <c r="M102">
        <v>3.5321128288574524E-4</v>
      </c>
      <c r="N102">
        <f>RESULTADOS_R!$T$32+(RESULTADOS_R!$T$33*I101)+(RESULTADOS_R!$T$34*I100)+(RESULTADOS_R!$T$35*I99)+(RESULTADOS_R!$T$36*I98)</f>
        <v>-3.5728995102588619E-4</v>
      </c>
      <c r="O102">
        <f t="shared" si="11"/>
        <v>-4.6716095251365757E-4</v>
      </c>
      <c r="P102" s="3"/>
      <c r="Q102" t="s">
        <v>130</v>
      </c>
      <c r="R102" t="s">
        <v>312</v>
      </c>
      <c r="S102">
        <v>5.441165267722081E-3</v>
      </c>
      <c r="T102">
        <f>RESULTADOS_R!$T$37</f>
        <v>-1.944E-3</v>
      </c>
      <c r="U102">
        <f t="shared" si="8"/>
        <v>7.3851652677220814E-3</v>
      </c>
      <c r="V102" s="3"/>
      <c r="W102" t="s">
        <v>130</v>
      </c>
      <c r="X102" t="s">
        <v>312</v>
      </c>
      <c r="Y102">
        <v>-1.3768982616864046E-3</v>
      </c>
      <c r="Z102">
        <f>RESULTADOS_R!$T$38</f>
        <v>-1.799E-3</v>
      </c>
      <c r="AA102">
        <f t="shared" si="9"/>
        <v>4.221017383135954E-4</v>
      </c>
      <c r="AB102" s="3"/>
      <c r="AC102" t="s">
        <v>130</v>
      </c>
      <c r="AD102" t="s">
        <v>312</v>
      </c>
      <c r="AE102">
        <v>-1.1631450534539574E-3</v>
      </c>
      <c r="AF102">
        <v>3.2435607772528228E-3</v>
      </c>
      <c r="AG102">
        <v>2.324082533512184E-3</v>
      </c>
      <c r="AH102">
        <v>3.0327549377445985E-3</v>
      </c>
      <c r="AI102">
        <v>-3.0550205779660421E-3</v>
      </c>
      <c r="AJ102">
        <f>RESULTADOS_R!$T$39+(RESULTADOS_R!$T$40*AE101)+(RESULTADOS_R!$T$41*AE100)+(RESULTADOS_R!$T$42*AE99)+(RESULTADOS_R!$T$43*AE98)</f>
        <v>2.7345949106028433E-5</v>
      </c>
      <c r="AK102">
        <f t="shared" si="12"/>
        <v>-1.1904910025599858E-3</v>
      </c>
      <c r="AL102" s="3"/>
      <c r="AM102" t="s">
        <v>130</v>
      </c>
      <c r="AN102" t="s">
        <v>312</v>
      </c>
      <c r="AO102">
        <v>-1.0240460542023842E-2</v>
      </c>
      <c r="AP102">
        <v>-4.109797948593641E-4</v>
      </c>
      <c r="AQ102">
        <v>8.8668170655683033E-3</v>
      </c>
      <c r="AR102">
        <v>7.7145874180925046E-4</v>
      </c>
      <c r="AS102">
        <v>-1.4332654490088666E-2</v>
      </c>
      <c r="AT102">
        <f>RESULTADOS_R!$T$44+(RESULTADOS_R!$T$45*AO101)+(RESULTADOS_R!$T$46*AO100)+(RESULTADOS_R!$T$47*AO99)+(RESULTADOS_R!$T$48*AO98)</f>
        <v>-1.5803025490505622E-3</v>
      </c>
      <c r="AU102">
        <f t="shared" si="13"/>
        <v>-8.6601579929732799E-3</v>
      </c>
      <c r="AV102" s="3"/>
      <c r="AW102" t="s">
        <v>130</v>
      </c>
      <c r="AX102" t="s">
        <v>312</v>
      </c>
      <c r="AY102">
        <v>-5.8228740432921299E-3</v>
      </c>
      <c r="AZ102">
        <f>RESULTADOS_R!$T$49</f>
        <v>3.5589999999999998E-4</v>
      </c>
      <c r="BA102">
        <f t="shared" si="10"/>
        <v>-6.17877404329213E-3</v>
      </c>
    </row>
    <row r="103" spans="1:53" x14ac:dyDescent="0.25">
      <c r="A103" t="s">
        <v>130</v>
      </c>
      <c r="B103" t="s">
        <v>313</v>
      </c>
      <c r="C103">
        <v>5.1459809033587711E-3</v>
      </c>
      <c r="D103">
        <f>RESULTADOS_R!$T$31</f>
        <v>2.8909999999999998E-4</v>
      </c>
      <c r="E103">
        <f t="shared" si="7"/>
        <v>4.8568809033587715E-3</v>
      </c>
      <c r="F103" s="3"/>
      <c r="G103" t="s">
        <v>130</v>
      </c>
      <c r="H103" t="s">
        <v>313</v>
      </c>
      <c r="I103">
        <v>-2.0050723235768499E-3</v>
      </c>
      <c r="J103">
        <v>-8.2445090353954376E-4</v>
      </c>
      <c r="K103">
        <v>2.3548805006979711E-4</v>
      </c>
      <c r="L103">
        <v>-3.5321128288574974E-4</v>
      </c>
      <c r="M103">
        <v>0</v>
      </c>
      <c r="N103">
        <f>RESULTADOS_R!$T$32+(RESULTADOS_R!$T$33*I102)+(RESULTADOS_R!$T$34*I101)+(RESULTADOS_R!$T$35*I100)+(RESULTADOS_R!$T$36*I99)</f>
        <v>-1.9196232492655612E-4</v>
      </c>
      <c r="O103">
        <f t="shared" si="11"/>
        <v>-1.8131099986502938E-3</v>
      </c>
      <c r="P103" s="3"/>
      <c r="Q103" t="s">
        <v>130</v>
      </c>
      <c r="R103" t="s">
        <v>313</v>
      </c>
      <c r="S103">
        <v>0.11062692814008468</v>
      </c>
      <c r="T103">
        <f>RESULTADOS_R!$T$37</f>
        <v>-1.944E-3</v>
      </c>
      <c r="U103">
        <f t="shared" si="8"/>
        <v>0.11257092814008468</v>
      </c>
      <c r="V103" s="3"/>
      <c r="W103" t="s">
        <v>130</v>
      </c>
      <c r="X103" t="s">
        <v>313</v>
      </c>
      <c r="Y103">
        <v>0.1076220176649078</v>
      </c>
      <c r="Z103">
        <f>RESULTADOS_R!$T$38</f>
        <v>-1.799E-3</v>
      </c>
      <c r="AA103">
        <f t="shared" si="9"/>
        <v>0.10942101766490779</v>
      </c>
      <c r="AB103" s="3"/>
      <c r="AC103" t="s">
        <v>130</v>
      </c>
      <c r="AD103" t="s">
        <v>313</v>
      </c>
      <c r="AE103">
        <v>1.7110159799166717E-3</v>
      </c>
      <c r="AF103">
        <v>-1.1631450534539574E-3</v>
      </c>
      <c r="AG103">
        <v>3.2435607772528228E-3</v>
      </c>
      <c r="AH103">
        <v>2.324082533512184E-3</v>
      </c>
      <c r="AI103">
        <v>3.0327549377445985E-3</v>
      </c>
      <c r="AJ103">
        <f>RESULTADOS_R!$T$39+(RESULTADOS_R!$T$40*AE102)+(RESULTADOS_R!$T$41*AE101)+(RESULTADOS_R!$T$42*AE100)+(RESULTADOS_R!$T$43*AE99)</f>
        <v>-3.2879760646297969E-4</v>
      </c>
      <c r="AK103">
        <f t="shared" si="12"/>
        <v>2.0398135863796511E-3</v>
      </c>
      <c r="AL103" s="3"/>
      <c r="AM103" t="s">
        <v>130</v>
      </c>
      <c r="AN103" t="s">
        <v>313</v>
      </c>
      <c r="AO103">
        <v>3.8419073142240702E-3</v>
      </c>
      <c r="AP103">
        <v>-1.0240460542023842E-2</v>
      </c>
      <c r="AQ103">
        <v>-4.109797948593641E-4</v>
      </c>
      <c r="AR103">
        <v>8.8668170655683033E-3</v>
      </c>
      <c r="AS103">
        <v>7.7145874180925046E-4</v>
      </c>
      <c r="AT103">
        <f>RESULTADOS_R!$T$44+(RESULTADOS_R!$T$45*AO102)+(RESULTADOS_R!$T$46*AO101)+(RESULTADOS_R!$T$47*AO100)+(RESULTADOS_R!$T$48*AO99)</f>
        <v>-1.0538967692360931E-3</v>
      </c>
      <c r="AU103">
        <f t="shared" si="13"/>
        <v>4.8958040834601634E-3</v>
      </c>
      <c r="AV103" s="3"/>
      <c r="AW103" t="s">
        <v>130</v>
      </c>
      <c r="AX103" t="s">
        <v>313</v>
      </c>
      <c r="AY103">
        <v>1.1107386505369138E-3</v>
      </c>
      <c r="AZ103">
        <f>RESULTADOS_R!$T$49</f>
        <v>3.5589999999999998E-4</v>
      </c>
      <c r="BA103">
        <f t="shared" si="10"/>
        <v>7.5483865053691391E-4</v>
      </c>
    </row>
    <row r="104" spans="1:53" x14ac:dyDescent="0.25">
      <c r="A104" t="s">
        <v>130</v>
      </c>
      <c r="B104" t="s">
        <v>314</v>
      </c>
      <c r="C104">
        <v>-3.6952982702750906E-3</v>
      </c>
      <c r="D104">
        <f>RESULTADOS_R!$T$31</f>
        <v>2.8909999999999998E-4</v>
      </c>
      <c r="E104">
        <f t="shared" si="7"/>
        <v>-3.9843982702750906E-3</v>
      </c>
      <c r="F104" s="3"/>
      <c r="G104" t="s">
        <v>130</v>
      </c>
      <c r="H104" t="s">
        <v>314</v>
      </c>
      <c r="I104">
        <v>2.3609963514223924E-4</v>
      </c>
      <c r="J104">
        <v>-2.0050723235768499E-3</v>
      </c>
      <c r="K104">
        <v>-8.2445090353954376E-4</v>
      </c>
      <c r="L104">
        <v>2.3548805006979711E-4</v>
      </c>
      <c r="M104">
        <v>-3.5321128288574974E-4</v>
      </c>
      <c r="N104">
        <f>RESULTADOS_R!$T$32+(RESULTADOS_R!$T$33*I103)+(RESULTADOS_R!$T$34*I102)+(RESULTADOS_R!$T$35*I101)+(RESULTADOS_R!$T$36*I100)</f>
        <v>1.4733260125695681E-4</v>
      </c>
      <c r="O104">
        <f t="shared" si="11"/>
        <v>8.8767033885282424E-5</v>
      </c>
      <c r="P104" s="3"/>
      <c r="Q104" t="s">
        <v>130</v>
      </c>
      <c r="R104" t="s">
        <v>314</v>
      </c>
      <c r="S104">
        <v>5.4838658918256095E-2</v>
      </c>
      <c r="T104">
        <f>RESULTADOS_R!$T$37</f>
        <v>-1.944E-3</v>
      </c>
      <c r="U104">
        <f t="shared" si="8"/>
        <v>5.6782658918256096E-2</v>
      </c>
      <c r="V104" s="3"/>
      <c r="W104" t="s">
        <v>130</v>
      </c>
      <c r="X104" t="s">
        <v>314</v>
      </c>
      <c r="Y104">
        <v>5.1883044207900533E-2</v>
      </c>
      <c r="Z104">
        <f>RESULTADOS_R!$T$38</f>
        <v>-1.799E-3</v>
      </c>
      <c r="AA104">
        <f t="shared" si="9"/>
        <v>5.3682044207900535E-2</v>
      </c>
      <c r="AB104" s="3"/>
      <c r="AC104" t="s">
        <v>130</v>
      </c>
      <c r="AD104" t="s">
        <v>314</v>
      </c>
      <c r="AE104">
        <v>7.0676737225618238E-3</v>
      </c>
      <c r="AF104">
        <v>1.7110159799166717E-3</v>
      </c>
      <c r="AG104">
        <v>-1.1631450534539574E-3</v>
      </c>
      <c r="AH104">
        <v>3.2435607772528228E-3</v>
      </c>
      <c r="AI104">
        <v>2.324082533512184E-3</v>
      </c>
      <c r="AJ104">
        <f>RESULTADOS_R!$T$39+(RESULTADOS_R!$T$40*AE103)+(RESULTADOS_R!$T$41*AE102)+(RESULTADOS_R!$T$42*AE101)+(RESULTADOS_R!$T$43*AE100)</f>
        <v>7.3606359165222658E-4</v>
      </c>
      <c r="AK104">
        <f t="shared" si="12"/>
        <v>6.3316101309095971E-3</v>
      </c>
      <c r="AL104" s="3"/>
      <c r="AM104" t="s">
        <v>130</v>
      </c>
      <c r="AN104" t="s">
        <v>314</v>
      </c>
      <c r="AO104">
        <v>2.2511704617821905E-2</v>
      </c>
      <c r="AP104">
        <v>3.8419073142240702E-3</v>
      </c>
      <c r="AQ104">
        <v>-1.0240460542023842E-2</v>
      </c>
      <c r="AR104">
        <v>-4.109797948593641E-4</v>
      </c>
      <c r="AS104">
        <v>8.8668170655683033E-3</v>
      </c>
      <c r="AT104">
        <f>RESULTADOS_R!$T$44+(RESULTADOS_R!$T$45*AO103)+(RESULTADOS_R!$T$46*AO102)+(RESULTADOS_R!$T$47*AO101)+(RESULTADOS_R!$T$48*AO100)</f>
        <v>3.3413942099744078E-3</v>
      </c>
      <c r="AU104">
        <f t="shared" si="13"/>
        <v>1.9170310407847498E-2</v>
      </c>
      <c r="AV104" s="3"/>
      <c r="AW104" t="s">
        <v>130</v>
      </c>
      <c r="AX104" t="s">
        <v>314</v>
      </c>
      <c r="AY104">
        <v>-9.0107086836838915E-4</v>
      </c>
      <c r="AZ104">
        <f>RESULTADOS_R!$T$49</f>
        <v>3.5589999999999998E-4</v>
      </c>
      <c r="BA104">
        <f t="shared" si="10"/>
        <v>-1.2569708683683892E-3</v>
      </c>
    </row>
    <row r="105" spans="1:53" x14ac:dyDescent="0.25">
      <c r="A105" t="s">
        <v>130</v>
      </c>
      <c r="B105" t="s">
        <v>315</v>
      </c>
      <c r="C105">
        <v>8.3505937536700395E-3</v>
      </c>
      <c r="D105">
        <f>RESULTADOS_R!$T$31</f>
        <v>2.8909999999999998E-4</v>
      </c>
      <c r="E105">
        <f t="shared" si="7"/>
        <v>8.061493753670039E-3</v>
      </c>
      <c r="F105" s="3"/>
      <c r="G105" t="s">
        <v>130</v>
      </c>
      <c r="H105" t="s">
        <v>315</v>
      </c>
      <c r="I105">
        <v>-1.0628876111364691E-3</v>
      </c>
      <c r="J105">
        <v>2.3609963514223924E-4</v>
      </c>
      <c r="K105">
        <v>-2.0050723235768499E-3</v>
      </c>
      <c r="L105">
        <v>-8.2445090353954376E-4</v>
      </c>
      <c r="M105">
        <v>2.3548805006979711E-4</v>
      </c>
      <c r="N105">
        <f>RESULTADOS_R!$T$32+(RESULTADOS_R!$T$33*I104)+(RESULTADOS_R!$T$34*I103)+(RESULTADOS_R!$T$35*I102)+(RESULTADOS_R!$T$36*I101)</f>
        <v>-2.074993548659963E-5</v>
      </c>
      <c r="O105">
        <f t="shared" si="11"/>
        <v>-1.0421376756498694E-3</v>
      </c>
      <c r="P105" s="3"/>
      <c r="Q105" t="s">
        <v>130</v>
      </c>
      <c r="R105" t="s">
        <v>315</v>
      </c>
      <c r="S105">
        <v>6.3247980484566861E-3</v>
      </c>
      <c r="T105">
        <f>RESULTADOS_R!$T$37</f>
        <v>-1.944E-3</v>
      </c>
      <c r="U105">
        <f t="shared" si="8"/>
        <v>8.2687980484566857E-3</v>
      </c>
      <c r="V105" s="3"/>
      <c r="W105" t="s">
        <v>130</v>
      </c>
      <c r="X105" t="s">
        <v>315</v>
      </c>
      <c r="Y105">
        <v>-6.3405783732292872E-3</v>
      </c>
      <c r="Z105">
        <f>RESULTADOS_R!$T$38</f>
        <v>-1.799E-3</v>
      </c>
      <c r="AA105">
        <f t="shared" si="9"/>
        <v>-4.541578373229287E-3</v>
      </c>
      <c r="AB105" s="3"/>
      <c r="AC105" t="s">
        <v>130</v>
      </c>
      <c r="AD105" t="s">
        <v>315</v>
      </c>
      <c r="AE105">
        <v>2.8361498964632912E-3</v>
      </c>
      <c r="AF105">
        <v>7.0676737225618238E-3</v>
      </c>
      <c r="AG105">
        <v>1.7110159799166717E-3</v>
      </c>
      <c r="AH105">
        <v>-1.1631450534539574E-3</v>
      </c>
      <c r="AI105">
        <v>3.2435607772528228E-3</v>
      </c>
      <c r="AJ105">
        <f>RESULTADOS_R!$T$39+(RESULTADOS_R!$T$40*AE104)+(RESULTADOS_R!$T$41*AE103)+(RESULTADOS_R!$T$42*AE102)+(RESULTADOS_R!$T$43*AE101)</f>
        <v>6.2069375615291206E-4</v>
      </c>
      <c r="AK105">
        <f t="shared" si="12"/>
        <v>2.215456140310379E-3</v>
      </c>
      <c r="AL105" s="3"/>
      <c r="AM105" t="s">
        <v>130</v>
      </c>
      <c r="AN105" t="s">
        <v>315</v>
      </c>
      <c r="AO105">
        <v>7.9796644144763465E-3</v>
      </c>
      <c r="AP105">
        <v>2.2511704617821905E-2</v>
      </c>
      <c r="AQ105">
        <v>3.8419073142240702E-3</v>
      </c>
      <c r="AR105">
        <v>-1.0240460542023842E-2</v>
      </c>
      <c r="AS105">
        <v>-4.109797948593641E-4</v>
      </c>
      <c r="AT105">
        <f>RESULTADOS_R!$T$44+(RESULTADOS_R!$T$45*AO104)+(RESULTADOS_R!$T$46*AO103)+(RESULTADOS_R!$T$47*AO102)+(RESULTADOS_R!$T$48*AO101)</f>
        <v>3.5547752494739819E-3</v>
      </c>
      <c r="AU105">
        <f t="shared" si="13"/>
        <v>4.4248891650023646E-3</v>
      </c>
      <c r="AV105" s="3"/>
      <c r="AW105" t="s">
        <v>130</v>
      </c>
      <c r="AX105" t="s">
        <v>315</v>
      </c>
      <c r="AY105">
        <v>2.5544135077685669E-3</v>
      </c>
      <c r="AZ105">
        <f>RESULTADOS_R!$T$49</f>
        <v>3.5589999999999998E-4</v>
      </c>
      <c r="BA105">
        <f t="shared" si="10"/>
        <v>2.1985135077685668E-3</v>
      </c>
    </row>
    <row r="106" spans="1:53" x14ac:dyDescent="0.25">
      <c r="A106" t="s">
        <v>130</v>
      </c>
      <c r="B106" t="s">
        <v>316</v>
      </c>
      <c r="C106">
        <v>1.4426018948570565E-2</v>
      </c>
      <c r="D106">
        <f>RESULTADOS_R!$T$31</f>
        <v>2.8909999999999998E-4</v>
      </c>
      <c r="E106">
        <f t="shared" si="7"/>
        <v>1.4136918948570564E-2</v>
      </c>
      <c r="F106" s="3"/>
      <c r="G106" t="s">
        <v>130</v>
      </c>
      <c r="H106" t="s">
        <v>316</v>
      </c>
      <c r="I106">
        <v>-1.1816839009306741E-4</v>
      </c>
      <c r="J106">
        <v>-1.0628876111364691E-3</v>
      </c>
      <c r="K106">
        <v>2.3609963514223924E-4</v>
      </c>
      <c r="L106">
        <v>-2.0050723235768499E-3</v>
      </c>
      <c r="M106">
        <v>-8.2445090353954376E-4</v>
      </c>
      <c r="N106">
        <f>RESULTADOS_R!$T$32+(RESULTADOS_R!$T$33*I105)+(RESULTADOS_R!$T$34*I104)+(RESULTADOS_R!$T$35*I103)+(RESULTADOS_R!$T$36*I102)</f>
        <v>2.4770144360862988E-4</v>
      </c>
      <c r="O106">
        <f t="shared" si="11"/>
        <v>-3.6586983370169731E-4</v>
      </c>
      <c r="P106" s="3"/>
      <c r="Q106" t="s">
        <v>130</v>
      </c>
      <c r="R106" t="s">
        <v>316</v>
      </c>
      <c r="S106">
        <v>4.9821121135587417E-3</v>
      </c>
      <c r="T106">
        <f>RESULTADOS_R!$T$37</f>
        <v>-1.944E-3</v>
      </c>
      <c r="U106">
        <f t="shared" si="8"/>
        <v>6.9261121135587422E-3</v>
      </c>
      <c r="V106" s="3"/>
      <c r="W106" t="s">
        <v>130</v>
      </c>
      <c r="X106" t="s">
        <v>316</v>
      </c>
      <c r="Y106">
        <v>3.6737026405817559E-2</v>
      </c>
      <c r="Z106">
        <f>RESULTADOS_R!$T$38</f>
        <v>-1.799E-3</v>
      </c>
      <c r="AA106">
        <f t="shared" si="9"/>
        <v>3.8536026405817561E-2</v>
      </c>
      <c r="AB106" s="3"/>
      <c r="AC106" t="s">
        <v>130</v>
      </c>
      <c r="AD106" t="s">
        <v>316</v>
      </c>
      <c r="AE106">
        <v>3.7999887165703506E-3</v>
      </c>
      <c r="AF106">
        <v>2.8361498964632912E-3</v>
      </c>
      <c r="AG106">
        <v>7.0676737225618238E-3</v>
      </c>
      <c r="AH106">
        <v>1.7110159799166717E-3</v>
      </c>
      <c r="AI106">
        <v>-1.1631450534539574E-3</v>
      </c>
      <c r="AJ106">
        <f>RESULTADOS_R!$T$39+(RESULTADOS_R!$T$40*AE105)+(RESULTADOS_R!$T$41*AE104)+(RESULTADOS_R!$T$42*AE103)+(RESULTADOS_R!$T$43*AE102)</f>
        <v>-8.7263901323389654E-4</v>
      </c>
      <c r="AK106">
        <f t="shared" si="12"/>
        <v>4.6726277298042469E-3</v>
      </c>
      <c r="AL106" s="3"/>
      <c r="AM106" t="s">
        <v>130</v>
      </c>
      <c r="AN106" t="s">
        <v>316</v>
      </c>
      <c r="AO106">
        <v>5.3404149223371111E-3</v>
      </c>
      <c r="AP106">
        <v>7.9796644144763465E-3</v>
      </c>
      <c r="AQ106">
        <v>2.2511704617821905E-2</v>
      </c>
      <c r="AR106">
        <v>3.8419073142240702E-3</v>
      </c>
      <c r="AS106">
        <v>-1.0240460542023842E-2</v>
      </c>
      <c r="AT106">
        <f>RESULTADOS_R!$T$44+(RESULTADOS_R!$T$45*AO105)+(RESULTADOS_R!$T$46*AO104)+(RESULTADOS_R!$T$47*AO103)+(RESULTADOS_R!$T$48*AO102)</f>
        <v>-2.1242874573669788E-3</v>
      </c>
      <c r="AU106">
        <f t="shared" si="13"/>
        <v>7.4647023797040895E-3</v>
      </c>
      <c r="AV106" s="3"/>
      <c r="AW106" t="s">
        <v>130</v>
      </c>
      <c r="AX106" t="s">
        <v>316</v>
      </c>
      <c r="AY106">
        <v>-1.5590914389366402E-3</v>
      </c>
      <c r="AZ106">
        <f>RESULTADOS_R!$T$49</f>
        <v>3.5589999999999998E-4</v>
      </c>
      <c r="BA106">
        <f t="shared" si="10"/>
        <v>-1.9149914389366401E-3</v>
      </c>
    </row>
    <row r="107" spans="1:53" x14ac:dyDescent="0.25">
      <c r="A107" t="s">
        <v>130</v>
      </c>
      <c r="B107" t="s">
        <v>317</v>
      </c>
      <c r="C107">
        <v>-1.8281723069371991E-2</v>
      </c>
      <c r="D107">
        <f>RESULTADOS_R!$T$31</f>
        <v>2.8909999999999998E-4</v>
      </c>
      <c r="E107">
        <f t="shared" si="7"/>
        <v>-1.8570823069371991E-2</v>
      </c>
      <c r="F107" s="3"/>
      <c r="G107" t="s">
        <v>130</v>
      </c>
      <c r="H107" t="s">
        <v>317</v>
      </c>
      <c r="I107">
        <v>-5.0944959423488319E-3</v>
      </c>
      <c r="J107">
        <v>-1.1816839009306741E-4</v>
      </c>
      <c r="K107">
        <v>-1.0628876111364691E-3</v>
      </c>
      <c r="L107">
        <v>2.3609963514223924E-4</v>
      </c>
      <c r="M107">
        <v>-2.0050723235768499E-3</v>
      </c>
      <c r="N107">
        <f>RESULTADOS_R!$T$32+(RESULTADOS_R!$T$33*I106)+(RESULTADOS_R!$T$34*I105)+(RESULTADOS_R!$T$35*I104)+(RESULTADOS_R!$T$36*I103)</f>
        <v>6.0386955647171738E-4</v>
      </c>
      <c r="O107">
        <f t="shared" si="11"/>
        <v>-5.6983654988205495E-3</v>
      </c>
      <c r="P107" s="3"/>
      <c r="Q107" t="s">
        <v>130</v>
      </c>
      <c r="R107" t="s">
        <v>317</v>
      </c>
      <c r="S107">
        <v>-1.7603439125574931E-2</v>
      </c>
      <c r="T107">
        <f>RESULTADOS_R!$T$37</f>
        <v>-1.944E-3</v>
      </c>
      <c r="U107">
        <f t="shared" si="8"/>
        <v>-1.565943912557493E-2</v>
      </c>
      <c r="V107" s="3"/>
      <c r="W107" t="s">
        <v>130</v>
      </c>
      <c r="X107" t="s">
        <v>317</v>
      </c>
      <c r="Y107">
        <v>-5.1293950743834658E-2</v>
      </c>
      <c r="Z107">
        <f>RESULTADOS_R!$T$38</f>
        <v>-1.799E-3</v>
      </c>
      <c r="AA107">
        <f t="shared" si="9"/>
        <v>-4.9494950743834656E-2</v>
      </c>
      <c r="AB107" s="3"/>
      <c r="AC107" t="s">
        <v>130</v>
      </c>
      <c r="AD107" t="s">
        <v>317</v>
      </c>
      <c r="AE107">
        <v>-3.2030636841280376E-3</v>
      </c>
      <c r="AF107">
        <v>3.7999887165703506E-3</v>
      </c>
      <c r="AG107">
        <v>2.8361498964632912E-3</v>
      </c>
      <c r="AH107">
        <v>7.0676737225618238E-3</v>
      </c>
      <c r="AI107">
        <v>1.7110159799166717E-3</v>
      </c>
      <c r="AJ107">
        <f>RESULTADOS_R!$T$39+(RESULTADOS_R!$T$40*AE106)+(RESULTADOS_R!$T$41*AE105)+(RESULTADOS_R!$T$42*AE104)+(RESULTADOS_R!$T$43*AE103)</f>
        <v>1.2315669806801463E-4</v>
      </c>
      <c r="AK107">
        <f t="shared" si="12"/>
        <v>-3.3262203821960521E-3</v>
      </c>
      <c r="AL107" s="3"/>
      <c r="AM107" t="s">
        <v>130</v>
      </c>
      <c r="AN107" t="s">
        <v>317</v>
      </c>
      <c r="AO107">
        <v>-5.2627510515305198E-3</v>
      </c>
      <c r="AP107">
        <v>5.3404149223371111E-3</v>
      </c>
      <c r="AQ107">
        <v>7.9796644144763465E-3</v>
      </c>
      <c r="AR107">
        <v>2.2511704617821905E-2</v>
      </c>
      <c r="AS107">
        <v>3.8419073142240702E-3</v>
      </c>
      <c r="AT107">
        <f>RESULTADOS_R!$T$44+(RESULTADOS_R!$T$45*AO106)+(RESULTADOS_R!$T$46*AO105)+(RESULTADOS_R!$T$47*AO104)+(RESULTADOS_R!$T$48*AO103)</f>
        <v>4.6068168860014811E-3</v>
      </c>
      <c r="AU107">
        <f t="shared" si="13"/>
        <v>-9.8695679375320009E-3</v>
      </c>
      <c r="AV107" s="3"/>
      <c r="AW107" t="s">
        <v>130</v>
      </c>
      <c r="AX107" t="s">
        <v>317</v>
      </c>
      <c r="AY107">
        <v>6.1764907981449264E-4</v>
      </c>
      <c r="AZ107">
        <f>RESULTADOS_R!$T$49</f>
        <v>3.5589999999999998E-4</v>
      </c>
      <c r="BA107">
        <f t="shared" si="10"/>
        <v>2.6174907981449267E-4</v>
      </c>
    </row>
    <row r="108" spans="1:53" x14ac:dyDescent="0.25">
      <c r="A108" t="s">
        <v>130</v>
      </c>
      <c r="B108" t="s">
        <v>318</v>
      </c>
      <c r="C108">
        <v>-1.9156136642672374E-2</v>
      </c>
      <c r="D108">
        <f>RESULTADOS_R!$T$31</f>
        <v>2.8909999999999998E-4</v>
      </c>
      <c r="E108">
        <f t="shared" si="7"/>
        <v>-1.9445236642672375E-2</v>
      </c>
      <c r="F108" s="3"/>
      <c r="G108" t="s">
        <v>130</v>
      </c>
      <c r="H108" t="s">
        <v>318</v>
      </c>
      <c r="I108">
        <v>3.083493904236549E-3</v>
      </c>
      <c r="J108">
        <v>-5.0944959423488319E-3</v>
      </c>
      <c r="K108">
        <v>-1.1816839009306741E-4</v>
      </c>
      <c r="L108">
        <v>-1.0628876111364691E-3</v>
      </c>
      <c r="M108">
        <v>2.3609963514223924E-4</v>
      </c>
      <c r="N108">
        <f>RESULTADOS_R!$T$32+(RESULTADOS_R!$T$33*I107)+(RESULTADOS_R!$T$34*I106)+(RESULTADOS_R!$T$35*I105)+(RESULTADOS_R!$T$36*I104)</f>
        <v>2.1060864644434186E-4</v>
      </c>
      <c r="O108">
        <f t="shared" si="11"/>
        <v>2.8728852577922072E-3</v>
      </c>
      <c r="P108" s="3"/>
      <c r="Q108" t="s">
        <v>130</v>
      </c>
      <c r="R108" t="s">
        <v>318</v>
      </c>
      <c r="S108">
        <v>-2.6921090283961276E-2</v>
      </c>
      <c r="T108">
        <f>RESULTADOS_R!$T$37</f>
        <v>-1.944E-3</v>
      </c>
      <c r="U108">
        <f t="shared" si="8"/>
        <v>-2.4977090283961275E-2</v>
      </c>
      <c r="V108" s="3"/>
      <c r="W108" t="s">
        <v>130</v>
      </c>
      <c r="X108" t="s">
        <v>318</v>
      </c>
      <c r="Y108">
        <v>-5.0002741810819262E-2</v>
      </c>
      <c r="Z108">
        <f>RESULTADOS_R!$T$38</f>
        <v>-1.799E-3</v>
      </c>
      <c r="AA108">
        <f t="shared" si="9"/>
        <v>-4.820374181081926E-2</v>
      </c>
      <c r="AB108" s="3"/>
      <c r="AC108" t="s">
        <v>130</v>
      </c>
      <c r="AD108" t="s">
        <v>318</v>
      </c>
      <c r="AE108">
        <v>1.8115090934033778E-2</v>
      </c>
      <c r="AF108">
        <v>-3.2030636841280376E-3</v>
      </c>
      <c r="AG108">
        <v>3.7999887165703506E-3</v>
      </c>
      <c r="AH108">
        <v>2.8361498964632912E-3</v>
      </c>
      <c r="AI108">
        <v>7.0676737225618238E-3</v>
      </c>
      <c r="AJ108">
        <f>RESULTADOS_R!$T$39+(RESULTADOS_R!$T$40*AE107)+(RESULTADOS_R!$T$41*AE106)+(RESULTADOS_R!$T$42*AE105)+(RESULTADOS_R!$T$43*AE104)</f>
        <v>-4.8115315412193912E-4</v>
      </c>
      <c r="AK108">
        <f t="shared" si="12"/>
        <v>1.8596244088155717E-2</v>
      </c>
      <c r="AL108" s="3"/>
      <c r="AM108" t="s">
        <v>130</v>
      </c>
      <c r="AN108" t="s">
        <v>318</v>
      </c>
      <c r="AO108">
        <v>1.6610142360510574E-2</v>
      </c>
      <c r="AP108">
        <v>-5.2627510515305198E-3</v>
      </c>
      <c r="AQ108">
        <v>5.3404149223371111E-3</v>
      </c>
      <c r="AR108">
        <v>7.9796644144763465E-3</v>
      </c>
      <c r="AS108">
        <v>2.2511704617821905E-2</v>
      </c>
      <c r="AT108">
        <f>RESULTADOS_R!$T$44+(RESULTADOS_R!$T$45*AO107)+(RESULTADOS_R!$T$46*AO106)+(RESULTADOS_R!$T$47*AO105)+(RESULTADOS_R!$T$48*AO104)</f>
        <v>-2.4304092858418846E-3</v>
      </c>
      <c r="AU108">
        <f t="shared" si="13"/>
        <v>1.904055164635246E-2</v>
      </c>
      <c r="AV108" s="3"/>
      <c r="AW108" t="s">
        <v>130</v>
      </c>
      <c r="AX108" t="s">
        <v>318</v>
      </c>
      <c r="AY108">
        <v>5.5209261741008117E-3</v>
      </c>
      <c r="AZ108">
        <f>RESULTADOS_R!$T$49</f>
        <v>3.5589999999999998E-4</v>
      </c>
      <c r="BA108">
        <f t="shared" si="10"/>
        <v>5.1650261741008115E-3</v>
      </c>
    </row>
    <row r="109" spans="1:53" x14ac:dyDescent="0.25">
      <c r="A109" t="s">
        <v>130</v>
      </c>
      <c r="B109" t="s">
        <v>319</v>
      </c>
      <c r="C109">
        <v>-3.8479420653191741E-3</v>
      </c>
      <c r="D109">
        <f>RESULTADOS_R!$T$31</f>
        <v>2.8909999999999998E-4</v>
      </c>
      <c r="E109">
        <f t="shared" si="7"/>
        <v>-4.1370420653191742E-3</v>
      </c>
      <c r="F109" s="3"/>
      <c r="G109" t="s">
        <v>130</v>
      </c>
      <c r="H109" t="s">
        <v>319</v>
      </c>
      <c r="I109">
        <v>-2.1337134695471791E-3</v>
      </c>
      <c r="J109">
        <v>3.083493904236549E-3</v>
      </c>
      <c r="K109">
        <v>-5.0944959423488319E-3</v>
      </c>
      <c r="L109">
        <v>-1.1816839009306741E-4</v>
      </c>
      <c r="M109">
        <v>-1.0628876111364691E-3</v>
      </c>
      <c r="N109">
        <f>RESULTADOS_R!$T$32+(RESULTADOS_R!$T$33*I108)+(RESULTADOS_R!$T$34*I107)+(RESULTADOS_R!$T$35*I106)+(RESULTADOS_R!$T$36*I105)</f>
        <v>5.7272541884654702E-4</v>
      </c>
      <c r="O109">
        <f t="shared" si="11"/>
        <v>-2.706438888393726E-3</v>
      </c>
      <c r="P109" s="3"/>
      <c r="Q109" t="s">
        <v>130</v>
      </c>
      <c r="R109" t="s">
        <v>319</v>
      </c>
      <c r="S109">
        <v>4.2115962690452953E-3</v>
      </c>
      <c r="T109">
        <f>RESULTADOS_R!$T$37</f>
        <v>-1.944E-3</v>
      </c>
      <c r="U109">
        <f t="shared" si="8"/>
        <v>6.1555962690452957E-3</v>
      </c>
      <c r="V109" s="3"/>
      <c r="W109" t="s">
        <v>130</v>
      </c>
      <c r="X109" t="s">
        <v>319</v>
      </c>
      <c r="Y109">
        <v>2.0800367558225477E-3</v>
      </c>
      <c r="Z109">
        <f>RESULTADOS_R!$T$38</f>
        <v>-1.799E-3</v>
      </c>
      <c r="AA109">
        <f t="shared" si="9"/>
        <v>3.8790367558225475E-3</v>
      </c>
      <c r="AB109" s="3"/>
      <c r="AC109" t="s">
        <v>130</v>
      </c>
      <c r="AD109" t="s">
        <v>319</v>
      </c>
      <c r="AE109">
        <v>5.5385169391837935E-3</v>
      </c>
      <c r="AF109">
        <v>1.8115090934033778E-2</v>
      </c>
      <c r="AG109">
        <v>-3.2030636841280376E-3</v>
      </c>
      <c r="AH109">
        <v>3.7999887165703506E-3</v>
      </c>
      <c r="AI109">
        <v>2.8361498964632912E-3</v>
      </c>
      <c r="AJ109">
        <f>RESULTADOS_R!$T$39+(RESULTADOS_R!$T$40*AE108)+(RESULTADOS_R!$T$41*AE107)+(RESULTADOS_R!$T$42*AE106)+(RESULTADOS_R!$T$43*AE105)</f>
        <v>2.4581232238966074E-3</v>
      </c>
      <c r="AK109">
        <f t="shared" si="12"/>
        <v>3.0803937152871861E-3</v>
      </c>
      <c r="AL109" s="3"/>
      <c r="AM109" t="s">
        <v>130</v>
      </c>
      <c r="AN109" t="s">
        <v>319</v>
      </c>
      <c r="AO109">
        <v>1.1144539230015729E-2</v>
      </c>
      <c r="AP109">
        <v>1.6610142360510574E-2</v>
      </c>
      <c r="AQ109">
        <v>-5.2627510515305198E-3</v>
      </c>
      <c r="AR109">
        <v>5.3404149223371111E-3</v>
      </c>
      <c r="AS109">
        <v>7.9796644144763465E-3</v>
      </c>
      <c r="AT109">
        <f>RESULTADOS_R!$T$44+(RESULTADOS_R!$T$45*AO108)+(RESULTADOS_R!$T$46*AO107)+(RESULTADOS_R!$T$47*AO106)+(RESULTADOS_R!$T$48*AO105)</f>
        <v>7.3899889307501273E-3</v>
      </c>
      <c r="AU109">
        <f t="shared" si="13"/>
        <v>3.7545502992656016E-3</v>
      </c>
      <c r="AV109" s="3"/>
      <c r="AW109" t="s">
        <v>130</v>
      </c>
      <c r="AX109" t="s">
        <v>319</v>
      </c>
      <c r="AY109">
        <v>3.0344621530152124E-3</v>
      </c>
      <c r="AZ109">
        <f>RESULTADOS_R!$T$49</f>
        <v>3.5589999999999998E-4</v>
      </c>
      <c r="BA109">
        <f t="shared" si="10"/>
        <v>2.6785621530152123E-3</v>
      </c>
    </row>
    <row r="110" spans="1:53" x14ac:dyDescent="0.25">
      <c r="A110" t="s">
        <v>130</v>
      </c>
      <c r="B110" t="s">
        <v>320</v>
      </c>
      <c r="C110">
        <v>1.5643739212372925E-2</v>
      </c>
      <c r="D110">
        <f>RESULTADOS_R!$T$31</f>
        <v>2.8909999999999998E-4</v>
      </c>
      <c r="E110">
        <f t="shared" si="7"/>
        <v>1.5354639212372925E-2</v>
      </c>
      <c r="F110" s="3"/>
      <c r="G110" t="s">
        <v>130</v>
      </c>
      <c r="H110" t="s">
        <v>320</v>
      </c>
      <c r="I110">
        <v>3.5593522354785193E-4</v>
      </c>
      <c r="J110">
        <v>-2.1337134695471791E-3</v>
      </c>
      <c r="K110">
        <v>3.083493904236549E-3</v>
      </c>
      <c r="L110">
        <v>-5.0944959423488319E-3</v>
      </c>
      <c r="M110">
        <v>-1.1816839009306741E-4</v>
      </c>
      <c r="N110">
        <f>RESULTADOS_R!$T$32+(RESULTADOS_R!$T$33*I109)+(RESULTADOS_R!$T$34*I108)+(RESULTADOS_R!$T$35*I107)+(RESULTADOS_R!$T$36*I106)</f>
        <v>-8.2700822015057752E-5</v>
      </c>
      <c r="O110">
        <f t="shared" si="11"/>
        <v>4.3863604556290968E-4</v>
      </c>
      <c r="P110" s="3"/>
      <c r="Q110" t="s">
        <v>130</v>
      </c>
      <c r="R110" t="s">
        <v>320</v>
      </c>
      <c r="S110">
        <v>4.5630568853648232E-2</v>
      </c>
      <c r="T110">
        <f>RESULTADOS_R!$T$37</f>
        <v>-1.944E-3</v>
      </c>
      <c r="U110">
        <f t="shared" si="8"/>
        <v>4.7574568853648233E-2</v>
      </c>
      <c r="V110" s="3"/>
      <c r="W110" t="s">
        <v>130</v>
      </c>
      <c r="X110" t="s">
        <v>320</v>
      </c>
      <c r="Y110">
        <v>8.065343791303374E-2</v>
      </c>
      <c r="Z110">
        <f>RESULTADOS_R!$T$38</f>
        <v>-1.799E-3</v>
      </c>
      <c r="AA110">
        <f t="shared" si="9"/>
        <v>8.2452437913033735E-2</v>
      </c>
      <c r="AB110" s="3"/>
      <c r="AC110" t="s">
        <v>130</v>
      </c>
      <c r="AD110" t="s">
        <v>320</v>
      </c>
      <c r="AE110">
        <v>-9.2551723532545999E-3</v>
      </c>
      <c r="AF110">
        <v>5.5385169391837935E-3</v>
      </c>
      <c r="AG110">
        <v>1.8115090934033778E-2</v>
      </c>
      <c r="AH110">
        <v>-3.2030636841280376E-3</v>
      </c>
      <c r="AI110">
        <v>3.7999887165703506E-3</v>
      </c>
      <c r="AJ110">
        <f>RESULTADOS_R!$T$39+(RESULTADOS_R!$T$40*AE109)+(RESULTADOS_R!$T$41*AE108)+(RESULTADOS_R!$T$42*AE107)+(RESULTADOS_R!$T$43*AE106)</f>
        <v>-2.6664920491001622E-3</v>
      </c>
      <c r="AK110">
        <f t="shared" si="12"/>
        <v>-6.5886803041544373E-3</v>
      </c>
      <c r="AL110" s="3"/>
      <c r="AM110" t="s">
        <v>130</v>
      </c>
      <c r="AN110" t="s">
        <v>320</v>
      </c>
      <c r="AO110">
        <v>-2.0776664252240805E-2</v>
      </c>
      <c r="AP110">
        <v>1.1144539230015729E-2</v>
      </c>
      <c r="AQ110">
        <v>1.6610142360510574E-2</v>
      </c>
      <c r="AR110">
        <v>-5.2627510515305198E-3</v>
      </c>
      <c r="AS110">
        <v>5.3404149223371111E-3</v>
      </c>
      <c r="AT110">
        <f>RESULTADOS_R!$T$44+(RESULTADOS_R!$T$45*AO109)+(RESULTADOS_R!$T$46*AO108)+(RESULTADOS_R!$T$47*AO107)+(RESULTADOS_R!$T$48*AO106)</f>
        <v>-2.5474050606007726E-3</v>
      </c>
      <c r="AU110">
        <f t="shared" si="13"/>
        <v>-1.8229259191640031E-2</v>
      </c>
      <c r="AV110" s="3"/>
      <c r="AW110" t="s">
        <v>130</v>
      </c>
      <c r="AX110" t="s">
        <v>320</v>
      </c>
      <c r="AY110">
        <v>-4.0028541254400491E-3</v>
      </c>
      <c r="AZ110">
        <f>RESULTADOS_R!$T$49</f>
        <v>3.5589999999999998E-4</v>
      </c>
      <c r="BA110">
        <f t="shared" si="10"/>
        <v>-4.3587541254400492E-3</v>
      </c>
    </row>
    <row r="111" spans="1:53" x14ac:dyDescent="0.25">
      <c r="A111" t="s">
        <v>130</v>
      </c>
      <c r="B111" t="s">
        <v>321</v>
      </c>
      <c r="C111">
        <v>8.8083277921570239E-4</v>
      </c>
      <c r="D111">
        <f>RESULTADOS_R!$T$31</f>
        <v>2.8909999999999998E-4</v>
      </c>
      <c r="E111">
        <f t="shared" si="7"/>
        <v>5.9173277921570236E-4</v>
      </c>
      <c r="F111" s="3"/>
      <c r="G111" t="s">
        <v>130</v>
      </c>
      <c r="H111" t="s">
        <v>321</v>
      </c>
      <c r="I111">
        <v>1.3040129878189176E-3</v>
      </c>
      <c r="J111">
        <v>3.5593522354785193E-4</v>
      </c>
      <c r="K111">
        <v>-2.1337134695471791E-3</v>
      </c>
      <c r="L111">
        <v>3.083493904236549E-3</v>
      </c>
      <c r="M111">
        <v>-5.0944959423488319E-3</v>
      </c>
      <c r="N111">
        <f>RESULTADOS_R!$T$32+(RESULTADOS_R!$T$33*I110)+(RESULTADOS_R!$T$34*I109)+(RESULTADOS_R!$T$35*I108)+(RESULTADOS_R!$T$36*I107)</f>
        <v>1.610534270933211E-3</v>
      </c>
      <c r="O111">
        <f t="shared" si="11"/>
        <v>-3.0652128311429343E-4</v>
      </c>
      <c r="P111" s="3"/>
      <c r="Q111" t="s">
        <v>130</v>
      </c>
      <c r="R111" t="s">
        <v>321</v>
      </c>
      <c r="S111">
        <v>-1.3855299439768001E-2</v>
      </c>
      <c r="T111">
        <f>RESULTADOS_R!$T$37</f>
        <v>-1.944E-3</v>
      </c>
      <c r="U111">
        <f t="shared" si="8"/>
        <v>-1.1911299439768002E-2</v>
      </c>
      <c r="V111" s="3"/>
      <c r="W111" t="s">
        <v>130</v>
      </c>
      <c r="X111" t="s">
        <v>321</v>
      </c>
      <c r="Y111">
        <v>-1.6503030043916754E-2</v>
      </c>
      <c r="Z111">
        <f>RESULTADOS_R!$T$38</f>
        <v>-1.799E-3</v>
      </c>
      <c r="AA111">
        <f t="shared" si="9"/>
        <v>-1.4704030043916754E-2</v>
      </c>
      <c r="AB111" s="3"/>
      <c r="AC111" t="s">
        <v>130</v>
      </c>
      <c r="AD111" t="s">
        <v>321</v>
      </c>
      <c r="AE111">
        <v>8.2280662945106789E-3</v>
      </c>
      <c r="AF111">
        <v>-9.2551723532545999E-3</v>
      </c>
      <c r="AG111">
        <v>5.5385169391837935E-3</v>
      </c>
      <c r="AH111">
        <v>1.8115090934033778E-2</v>
      </c>
      <c r="AI111">
        <v>-3.2030636841280376E-3</v>
      </c>
      <c r="AJ111">
        <f>RESULTADOS_R!$T$39+(RESULTADOS_R!$T$40*AE110)+(RESULTADOS_R!$T$41*AE109)+(RESULTADOS_R!$T$42*AE108)+(RESULTADOS_R!$T$43*AE107)</f>
        <v>-1.5507191968756131E-3</v>
      </c>
      <c r="AK111">
        <f t="shared" si="12"/>
        <v>9.7787854913862927E-3</v>
      </c>
      <c r="AL111" s="3"/>
      <c r="AM111" t="s">
        <v>130</v>
      </c>
      <c r="AN111" t="s">
        <v>321</v>
      </c>
      <c r="AO111">
        <v>8.6259285507245195E-3</v>
      </c>
      <c r="AP111">
        <v>-2.0776664252240805E-2</v>
      </c>
      <c r="AQ111">
        <v>1.1144539230015729E-2</v>
      </c>
      <c r="AR111">
        <v>1.6610142360510574E-2</v>
      </c>
      <c r="AS111">
        <v>-5.2627510515305198E-3</v>
      </c>
      <c r="AT111">
        <f>RESULTADOS_R!$T$44+(RESULTADOS_R!$T$45*AO110)+(RESULTADOS_R!$T$46*AO109)+(RESULTADOS_R!$T$47*AO108)+(RESULTADOS_R!$T$48*AO107)</f>
        <v>-5.2817867845340047E-3</v>
      </c>
      <c r="AU111">
        <f t="shared" si="13"/>
        <v>1.3907715335258523E-2</v>
      </c>
      <c r="AV111" s="3"/>
      <c r="AW111" t="s">
        <v>130</v>
      </c>
      <c r="AX111" t="s">
        <v>321</v>
      </c>
      <c r="AY111">
        <v>-3.0048538442223895E-3</v>
      </c>
      <c r="AZ111">
        <f>RESULTADOS_R!$T$49</f>
        <v>3.5589999999999998E-4</v>
      </c>
      <c r="BA111">
        <f t="shared" si="10"/>
        <v>-3.3607538442223897E-3</v>
      </c>
    </row>
    <row r="112" spans="1:53" x14ac:dyDescent="0.25">
      <c r="A112" t="s">
        <v>131</v>
      </c>
      <c r="B112" t="s">
        <v>322</v>
      </c>
      <c r="C112">
        <v>-2.1400503004023481E-2</v>
      </c>
      <c r="D112">
        <f>RESULTADOS_R!$T$31</f>
        <v>2.8909999999999998E-4</v>
      </c>
      <c r="E112">
        <f t="shared" si="7"/>
        <v>-2.1689603004023481E-2</v>
      </c>
      <c r="F112" s="3"/>
      <c r="G112" t="s">
        <v>131</v>
      </c>
      <c r="H112" t="s">
        <v>322</v>
      </c>
      <c r="I112">
        <v>5.9217151016895445E-4</v>
      </c>
      <c r="J112">
        <v>1.3040129878189176E-3</v>
      </c>
      <c r="K112">
        <v>3.5593522354785193E-4</v>
      </c>
      <c r="L112">
        <v>-2.1337134695471791E-3</v>
      </c>
      <c r="M112">
        <v>3.083493904236549E-3</v>
      </c>
      <c r="N112">
        <f>RESULTADOS_R!$T$32+(RESULTADOS_R!$T$33*I111)+(RESULTADOS_R!$T$34*I110)+(RESULTADOS_R!$T$35*I109)+(RESULTADOS_R!$T$36*I108)</f>
        <v>-1.3758264187003866E-3</v>
      </c>
      <c r="O112">
        <f t="shared" si="11"/>
        <v>1.9679979288693408E-3</v>
      </c>
      <c r="P112" s="3"/>
      <c r="Q112" t="s">
        <v>131</v>
      </c>
      <c r="R112" t="s">
        <v>322</v>
      </c>
      <c r="S112">
        <v>-8.1082303500867217E-2</v>
      </c>
      <c r="T112">
        <f>RESULTADOS_R!$T$37</f>
        <v>-1.944E-3</v>
      </c>
      <c r="U112">
        <f t="shared" si="8"/>
        <v>-7.9138303500867216E-2</v>
      </c>
      <c r="V112" s="3"/>
      <c r="W112" t="s">
        <v>131</v>
      </c>
      <c r="X112" t="s">
        <v>322</v>
      </c>
      <c r="Y112">
        <v>-8.2034752274246184E-2</v>
      </c>
      <c r="Z112">
        <f>RESULTADOS_R!$T$38</f>
        <v>-1.799E-3</v>
      </c>
      <c r="AA112">
        <f t="shared" si="9"/>
        <v>-8.0235752274246189E-2</v>
      </c>
      <c r="AB112" s="3"/>
      <c r="AC112" t="s">
        <v>131</v>
      </c>
      <c r="AD112" t="s">
        <v>322</v>
      </c>
      <c r="AE112">
        <v>1.5349617821691097E-2</v>
      </c>
      <c r="AF112">
        <v>8.2280662945106789E-3</v>
      </c>
      <c r="AG112">
        <v>-9.2551723532545999E-3</v>
      </c>
      <c r="AH112">
        <v>5.5385169391837935E-3</v>
      </c>
      <c r="AI112">
        <v>1.8115090934033778E-2</v>
      </c>
      <c r="AJ112">
        <f>RESULTADOS_R!$T$39+(RESULTADOS_R!$T$40*AE111)+(RESULTADOS_R!$T$41*AE110)+(RESULTADOS_R!$T$42*AE109)+(RESULTADOS_R!$T$43*AE108)</f>
        <v>3.2868550455622389E-3</v>
      </c>
      <c r="AK112">
        <f t="shared" si="12"/>
        <v>1.2062762776128857E-2</v>
      </c>
      <c r="AL112" s="3"/>
      <c r="AM112" t="s">
        <v>131</v>
      </c>
      <c r="AN112" t="s">
        <v>322</v>
      </c>
      <c r="AO112">
        <v>1.1311105089636932E-2</v>
      </c>
      <c r="AP112">
        <v>8.6259285507245195E-3</v>
      </c>
      <c r="AQ112">
        <v>-2.0776664252240805E-2</v>
      </c>
      <c r="AR112">
        <v>1.1144539230015729E-2</v>
      </c>
      <c r="AS112">
        <v>1.6610142360510574E-2</v>
      </c>
      <c r="AT112">
        <f>RESULTADOS_R!$T$44+(RESULTADOS_R!$T$45*AO111)+(RESULTADOS_R!$T$46*AO110)+(RESULTADOS_R!$T$47*AO109)+(RESULTADOS_R!$T$48*AO108)</f>
        <v>9.9730310119776969E-3</v>
      </c>
      <c r="AU112">
        <f t="shared" si="13"/>
        <v>1.3380740776592348E-3</v>
      </c>
      <c r="AV112" s="3"/>
      <c r="AW112" t="s">
        <v>131</v>
      </c>
      <c r="AX112" t="s">
        <v>322</v>
      </c>
      <c r="AY112">
        <v>1.0339372517060288E-3</v>
      </c>
      <c r="AZ112">
        <f>RESULTADOS_R!$T$49</f>
        <v>3.5589999999999998E-4</v>
      </c>
      <c r="BA112">
        <f t="shared" si="10"/>
        <v>6.7803725170602889E-4</v>
      </c>
    </row>
    <row r="113" spans="1:53" x14ac:dyDescent="0.25">
      <c r="A113" t="s">
        <v>131</v>
      </c>
      <c r="B113" t="s">
        <v>323</v>
      </c>
      <c r="C113">
        <v>-7.192042117620436E-3</v>
      </c>
      <c r="D113">
        <f>RESULTADOS_R!$T$31</f>
        <v>2.8909999999999998E-4</v>
      </c>
      <c r="E113">
        <f t="shared" si="7"/>
        <v>-7.4811421176204356E-3</v>
      </c>
      <c r="F113" s="3"/>
      <c r="G113" t="s">
        <v>131</v>
      </c>
      <c r="H113" t="s">
        <v>323</v>
      </c>
      <c r="I113">
        <v>1.1839223360780609E-4</v>
      </c>
      <c r="J113">
        <v>5.9217151016895445E-4</v>
      </c>
      <c r="K113">
        <v>1.3040129878189176E-3</v>
      </c>
      <c r="L113">
        <v>3.5593522354785193E-4</v>
      </c>
      <c r="M113">
        <v>-2.1337134695471791E-3</v>
      </c>
      <c r="N113">
        <f>RESULTADOS_R!$T$32+(RESULTADOS_R!$T$33*I112)+(RESULTADOS_R!$T$34*I111)+(RESULTADOS_R!$T$35*I110)+(RESULTADOS_R!$T$36*I109)</f>
        <v>2.4288219539391246E-4</v>
      </c>
      <c r="O113">
        <f t="shared" si="11"/>
        <v>-1.2448996178610636E-4</v>
      </c>
      <c r="P113" s="3"/>
      <c r="Q113" t="s">
        <v>131</v>
      </c>
      <c r="R113" t="s">
        <v>323</v>
      </c>
      <c r="S113">
        <v>-1.2586578010716627E-2</v>
      </c>
      <c r="T113">
        <f>RESULTADOS_R!$T$37</f>
        <v>-1.944E-3</v>
      </c>
      <c r="U113">
        <f t="shared" si="8"/>
        <v>-1.0642578010716627E-2</v>
      </c>
      <c r="V113" s="3"/>
      <c r="W113" t="s">
        <v>131</v>
      </c>
      <c r="X113" t="s">
        <v>323</v>
      </c>
      <c r="Y113">
        <v>-3.3795701522708353E-2</v>
      </c>
      <c r="Z113">
        <f>RESULTADOS_R!$T$38</f>
        <v>-1.799E-3</v>
      </c>
      <c r="AA113">
        <f t="shared" si="9"/>
        <v>-3.1996701522708351E-2</v>
      </c>
      <c r="AB113" s="3"/>
      <c r="AC113" t="s">
        <v>131</v>
      </c>
      <c r="AD113" t="s">
        <v>323</v>
      </c>
      <c r="AE113">
        <v>3.1619387163514621E-4</v>
      </c>
      <c r="AF113">
        <v>1.5349617821691097E-2</v>
      </c>
      <c r="AG113">
        <v>8.2280662945106789E-3</v>
      </c>
      <c r="AH113">
        <v>-9.2551723532545999E-3</v>
      </c>
      <c r="AI113">
        <v>5.5385169391837935E-3</v>
      </c>
      <c r="AJ113">
        <f>RESULTADOS_R!$T$39+(RESULTADOS_R!$T$40*AE112)+(RESULTADOS_R!$T$41*AE111)+(RESULTADOS_R!$T$42*AE110)+(RESULTADOS_R!$T$43*AE109)</f>
        <v>6.2347432785878076E-5</v>
      </c>
      <c r="AK113">
        <f t="shared" si="12"/>
        <v>2.5384643884926813E-4</v>
      </c>
      <c r="AL113" s="3"/>
      <c r="AM113" t="s">
        <v>131</v>
      </c>
      <c r="AN113" t="s">
        <v>323</v>
      </c>
      <c r="AO113">
        <v>6.2634181183045265E-3</v>
      </c>
      <c r="AP113">
        <v>1.1311105089636932E-2</v>
      </c>
      <c r="AQ113">
        <v>8.6259285507245195E-3</v>
      </c>
      <c r="AR113">
        <v>-2.0776664252240805E-2</v>
      </c>
      <c r="AS113">
        <v>1.1144539230015729E-2</v>
      </c>
      <c r="AT113">
        <f>RESULTADOS_R!$T$44+(RESULTADOS_R!$T$45*AO112)+(RESULTADOS_R!$T$46*AO111)+(RESULTADOS_R!$T$47*AO110)+(RESULTADOS_R!$T$48*AO109)</f>
        <v>-4.3325953821452207E-3</v>
      </c>
      <c r="AU113">
        <f t="shared" si="13"/>
        <v>1.0596013500449747E-2</v>
      </c>
      <c r="AV113" s="3"/>
      <c r="AW113" t="s">
        <v>131</v>
      </c>
      <c r="AX113" t="s">
        <v>323</v>
      </c>
      <c r="AY113">
        <v>2.5333228729631004E-3</v>
      </c>
      <c r="AZ113">
        <f>RESULTADOS_R!$T$49</f>
        <v>3.5589999999999998E-4</v>
      </c>
      <c r="BA113">
        <f t="shared" si="10"/>
        <v>2.1774228729631003E-3</v>
      </c>
    </row>
    <row r="114" spans="1:53" x14ac:dyDescent="0.25">
      <c r="A114" t="s">
        <v>131</v>
      </c>
      <c r="B114" t="s">
        <v>324</v>
      </c>
      <c r="C114">
        <v>-1.0194654042815754E-2</v>
      </c>
      <c r="D114">
        <f>RESULTADOS_R!$T$31</f>
        <v>2.8909999999999998E-4</v>
      </c>
      <c r="E114">
        <f t="shared" si="7"/>
        <v>-1.0483754042815754E-2</v>
      </c>
      <c r="F114" s="3"/>
      <c r="G114" t="s">
        <v>131</v>
      </c>
      <c r="H114" t="s">
        <v>324</v>
      </c>
      <c r="I114">
        <v>-9.4753056953006583E-4</v>
      </c>
      <c r="J114">
        <v>1.1839223360780609E-4</v>
      </c>
      <c r="K114">
        <v>5.9217151016895445E-4</v>
      </c>
      <c r="L114">
        <v>1.3040129878189176E-3</v>
      </c>
      <c r="M114">
        <v>3.5593522354785193E-4</v>
      </c>
      <c r="N114">
        <f>RESULTADOS_R!$T$32+(RESULTADOS_R!$T$33*I113)+(RESULTADOS_R!$T$34*I112)+(RESULTADOS_R!$T$35*I111)+(RESULTADOS_R!$T$36*I110)</f>
        <v>-5.7778557360316316E-4</v>
      </c>
      <c r="O114">
        <f t="shared" si="11"/>
        <v>-3.6974499592690266E-4</v>
      </c>
      <c r="P114" s="3"/>
      <c r="Q114" t="s">
        <v>131</v>
      </c>
      <c r="R114" t="s">
        <v>324</v>
      </c>
      <c r="S114">
        <v>-4.4568542775607303E-2</v>
      </c>
      <c r="T114">
        <f>RESULTADOS_R!$T$37</f>
        <v>-1.944E-3</v>
      </c>
      <c r="U114">
        <f t="shared" si="8"/>
        <v>-4.2624542775607302E-2</v>
      </c>
      <c r="V114" s="3"/>
      <c r="W114" t="s">
        <v>131</v>
      </c>
      <c r="X114" t="s">
        <v>324</v>
      </c>
      <c r="Y114">
        <v>-5.3995605513478019E-2</v>
      </c>
      <c r="Z114">
        <f>RESULTADOS_R!$T$38</f>
        <v>-1.799E-3</v>
      </c>
      <c r="AA114">
        <f t="shared" si="9"/>
        <v>-5.2196605513478017E-2</v>
      </c>
      <c r="AB114" s="3"/>
      <c r="AC114" t="s">
        <v>131</v>
      </c>
      <c r="AD114" t="s">
        <v>324</v>
      </c>
      <c r="AE114">
        <v>1.3698630158413185E-4</v>
      </c>
      <c r="AF114">
        <v>3.1619387163514621E-4</v>
      </c>
      <c r="AG114">
        <v>1.5349617821691097E-2</v>
      </c>
      <c r="AH114">
        <v>8.2280662945106789E-3</v>
      </c>
      <c r="AI114">
        <v>-9.2551723532545999E-3</v>
      </c>
      <c r="AJ114">
        <f>RESULTADOS_R!$T$39+(RESULTADOS_R!$T$40*AE113)+(RESULTADOS_R!$T$41*AE112)+(RESULTADOS_R!$T$42*AE111)+(RESULTADOS_R!$T$43*AE110)</f>
        <v>-2.8906220050292104E-3</v>
      </c>
      <c r="AK114">
        <f t="shared" si="12"/>
        <v>3.0276083066133421E-3</v>
      </c>
      <c r="AL114" s="3"/>
      <c r="AM114" t="s">
        <v>131</v>
      </c>
      <c r="AN114" t="s">
        <v>324</v>
      </c>
      <c r="AO114">
        <v>5.2409210586361107E-3</v>
      </c>
      <c r="AP114">
        <v>6.2634181183045265E-3</v>
      </c>
      <c r="AQ114">
        <v>1.1311105089636932E-2</v>
      </c>
      <c r="AR114">
        <v>8.6259285507245195E-3</v>
      </c>
      <c r="AS114">
        <v>-2.0776664252240805E-2</v>
      </c>
      <c r="AT114">
        <f>RESULTADOS_R!$T$44+(RESULTADOS_R!$T$45*AO113)+(RESULTADOS_R!$T$46*AO112)+(RESULTADOS_R!$T$47*AO111)+(RESULTADOS_R!$T$48*AO110)</f>
        <v>2.0470952353886266E-3</v>
      </c>
      <c r="AU114">
        <f t="shared" si="13"/>
        <v>3.193825823247484E-3</v>
      </c>
      <c r="AV114" s="3"/>
      <c r="AW114" t="s">
        <v>131</v>
      </c>
      <c r="AX114" t="s">
        <v>324</v>
      </c>
      <c r="AY114">
        <v>-1.8743361780926914E-4</v>
      </c>
      <c r="AZ114">
        <f>RESULTADOS_R!$T$49</f>
        <v>3.5589999999999998E-4</v>
      </c>
      <c r="BA114">
        <f t="shared" si="10"/>
        <v>-5.4333361780926914E-4</v>
      </c>
    </row>
    <row r="115" spans="1:53" x14ac:dyDescent="0.25">
      <c r="A115" t="s">
        <v>131</v>
      </c>
      <c r="B115" t="s">
        <v>325</v>
      </c>
      <c r="C115">
        <v>-1.858379019433392E-2</v>
      </c>
      <c r="D115">
        <f>RESULTADOS_R!$T$31</f>
        <v>2.8909999999999998E-4</v>
      </c>
      <c r="E115">
        <f t="shared" si="7"/>
        <v>-1.887289019433392E-2</v>
      </c>
      <c r="F115" s="3"/>
      <c r="G115" t="s">
        <v>131</v>
      </c>
      <c r="H115" t="s">
        <v>325</v>
      </c>
      <c r="I115">
        <v>-5.9266285146132667E-4</v>
      </c>
      <c r="J115">
        <v>-9.4753056953006583E-4</v>
      </c>
      <c r="K115">
        <v>1.1839223360780609E-4</v>
      </c>
      <c r="L115">
        <v>5.9217151016895445E-4</v>
      </c>
      <c r="M115">
        <v>1.3040129878189176E-3</v>
      </c>
      <c r="N115">
        <f>RESULTADOS_R!$T$32+(RESULTADOS_R!$T$33*I114)+(RESULTADOS_R!$T$34*I113)+(RESULTADOS_R!$T$35*I112)+(RESULTADOS_R!$T$36*I111)</f>
        <v>-7.0242935556694835E-4</v>
      </c>
      <c r="O115">
        <f t="shared" si="11"/>
        <v>1.0976650410562169E-4</v>
      </c>
      <c r="P115" s="3"/>
      <c r="Q115" t="s">
        <v>131</v>
      </c>
      <c r="R115" t="s">
        <v>325</v>
      </c>
      <c r="S115">
        <v>-2.6183582678775592E-2</v>
      </c>
      <c r="T115">
        <f>RESULTADOS_R!$T$37</f>
        <v>-1.944E-3</v>
      </c>
      <c r="U115">
        <f t="shared" si="8"/>
        <v>-2.423958267877559E-2</v>
      </c>
      <c r="V115" s="3"/>
      <c r="W115" t="s">
        <v>131</v>
      </c>
      <c r="X115" t="s">
        <v>325</v>
      </c>
      <c r="Y115">
        <v>-1.8716735508923003E-2</v>
      </c>
      <c r="Z115">
        <f>RESULTADOS_R!$T$38</f>
        <v>-1.799E-3</v>
      </c>
      <c r="AA115">
        <f t="shared" si="9"/>
        <v>-1.6917735508923004E-2</v>
      </c>
      <c r="AB115" s="3"/>
      <c r="AC115" t="s">
        <v>131</v>
      </c>
      <c r="AD115" t="s">
        <v>325</v>
      </c>
      <c r="AE115">
        <v>4.9505051598559835E-3</v>
      </c>
      <c r="AF115">
        <v>1.3698630158413185E-4</v>
      </c>
      <c r="AG115">
        <v>3.1619387163514621E-4</v>
      </c>
      <c r="AH115">
        <v>1.5349617821691097E-2</v>
      </c>
      <c r="AI115">
        <v>8.2280662945106789E-3</v>
      </c>
      <c r="AJ115">
        <f>RESULTADOS_R!$T$39+(RESULTADOS_R!$T$40*AE114)+(RESULTADOS_R!$T$41*AE113)+(RESULTADOS_R!$T$42*AE112)+(RESULTADOS_R!$T$43*AE111)</f>
        <v>5.3251554344454512E-4</v>
      </c>
      <c r="AK115">
        <f t="shared" si="12"/>
        <v>4.4179896164114382E-3</v>
      </c>
      <c r="AL115" s="3"/>
      <c r="AM115" t="s">
        <v>131</v>
      </c>
      <c r="AN115" t="s">
        <v>325</v>
      </c>
      <c r="AO115">
        <v>1.7866876407174132E-2</v>
      </c>
      <c r="AP115">
        <v>5.2409210586361107E-3</v>
      </c>
      <c r="AQ115">
        <v>6.2634181183045265E-3</v>
      </c>
      <c r="AR115">
        <v>1.1311105089636932E-2</v>
      </c>
      <c r="AS115">
        <v>8.6259285507245195E-3</v>
      </c>
      <c r="AT115">
        <f>RESULTADOS_R!$T$44+(RESULTADOS_R!$T$45*AO114)+(RESULTADOS_R!$T$46*AO113)+(RESULTADOS_R!$T$47*AO112)+(RESULTADOS_R!$T$48*AO111)</f>
        <v>2.1308624677230208E-3</v>
      </c>
      <c r="AU115">
        <f t="shared" si="13"/>
        <v>1.5736013939451111E-2</v>
      </c>
      <c r="AV115" s="3"/>
      <c r="AW115" t="s">
        <v>131</v>
      </c>
      <c r="AX115" t="s">
        <v>325</v>
      </c>
      <c r="AY115">
        <v>1.7168279325556555E-3</v>
      </c>
      <c r="AZ115">
        <f>RESULTADOS_R!$T$49</f>
        <v>3.5589999999999998E-4</v>
      </c>
      <c r="BA115">
        <f t="shared" si="10"/>
        <v>1.3609279325556556E-3</v>
      </c>
    </row>
    <row r="116" spans="1:53" x14ac:dyDescent="0.25">
      <c r="A116" t="s">
        <v>131</v>
      </c>
      <c r="B116" t="s">
        <v>326</v>
      </c>
      <c r="C116">
        <v>1.4846059711535551E-2</v>
      </c>
      <c r="D116">
        <f>RESULTADOS_R!$T$31</f>
        <v>2.8909999999999998E-4</v>
      </c>
      <c r="E116">
        <f>C116-D116</f>
        <v>1.455695971153555E-2</v>
      </c>
      <c r="F116" s="3"/>
      <c r="G116" t="s">
        <v>131</v>
      </c>
      <c r="H116" t="s">
        <v>326</v>
      </c>
      <c r="I116">
        <v>8.2962967721468724E-4</v>
      </c>
      <c r="J116">
        <v>-5.9266285146132667E-4</v>
      </c>
      <c r="K116">
        <v>-9.4753056953006583E-4</v>
      </c>
      <c r="L116">
        <v>1.1839223360780609E-4</v>
      </c>
      <c r="M116">
        <v>5.9217151016895445E-4</v>
      </c>
      <c r="N116">
        <f>RESULTADOS_R!$T$32+(RESULTADOS_R!$T$33*I115)+(RESULTADOS_R!$T$34*I114)+(RESULTADOS_R!$T$35*I113)+(RESULTADOS_R!$T$36*I112)</f>
        <v>-2.9326467101571533E-4</v>
      </c>
      <c r="O116">
        <f t="shared" si="11"/>
        <v>1.1228943482304026E-3</v>
      </c>
      <c r="P116" s="3"/>
      <c r="Q116" t="s">
        <v>131</v>
      </c>
      <c r="R116" t="s">
        <v>326</v>
      </c>
      <c r="S116">
        <v>2.7399546583742697E-2</v>
      </c>
      <c r="T116">
        <f>RESULTADOS_R!$T$37</f>
        <v>-1.944E-3</v>
      </c>
      <c r="U116">
        <f t="shared" si="8"/>
        <v>2.9343546583742698E-2</v>
      </c>
      <c r="V116" s="3"/>
      <c r="W116" t="s">
        <v>131</v>
      </c>
      <c r="X116" t="s">
        <v>326</v>
      </c>
      <c r="Y116">
        <v>2.971052781780603E-3</v>
      </c>
      <c r="Z116">
        <f>RESULTADOS_R!$T$38</f>
        <v>-1.799E-3</v>
      </c>
      <c r="AA116">
        <f t="shared" si="9"/>
        <v>4.7700527817806032E-3</v>
      </c>
      <c r="AB116" s="3"/>
      <c r="AC116" t="s">
        <v>131</v>
      </c>
      <c r="AD116" t="s">
        <v>326</v>
      </c>
      <c r="AE116">
        <v>-2.3145424942655748E-3</v>
      </c>
      <c r="AF116">
        <v>4.9505051598559835E-3</v>
      </c>
      <c r="AG116">
        <v>1.3698630158413185E-4</v>
      </c>
      <c r="AH116">
        <v>3.1619387163514621E-4</v>
      </c>
      <c r="AI116">
        <v>1.5349617821691097E-2</v>
      </c>
      <c r="AJ116">
        <f>RESULTADOS_R!$T$39+(RESULTADOS_R!$T$40*AE115)+(RESULTADOS_R!$T$41*AE114)+(RESULTADOS_R!$T$42*AE113)+(RESULTADOS_R!$T$43*AE112)</f>
        <v>1.1109934105374237E-3</v>
      </c>
      <c r="AK116">
        <f t="shared" si="12"/>
        <v>-3.4255359048029985E-3</v>
      </c>
      <c r="AL116" s="3"/>
      <c r="AM116" t="s">
        <v>131</v>
      </c>
      <c r="AN116" t="s">
        <v>326</v>
      </c>
      <c r="AO116">
        <v>-1.3078789407817487E-2</v>
      </c>
      <c r="AP116">
        <v>1.7866876407174132E-2</v>
      </c>
      <c r="AQ116">
        <v>5.2409210586361107E-3</v>
      </c>
      <c r="AR116">
        <v>6.2634181183045265E-3</v>
      </c>
      <c r="AS116">
        <v>1.1311105089636932E-2</v>
      </c>
      <c r="AT116">
        <f>RESULTADOS_R!$T$44+(RESULTADOS_R!$T$45*AO115)+(RESULTADOS_R!$T$46*AO114)+(RESULTADOS_R!$T$47*AO113)+(RESULTADOS_R!$T$48*AO112)</f>
        <v>5.0003909755201919E-3</v>
      </c>
      <c r="AU116">
        <f t="shared" si="13"/>
        <v>-1.8079180383337678E-2</v>
      </c>
      <c r="AV116" s="3"/>
      <c r="AW116" t="s">
        <v>131</v>
      </c>
      <c r="AX116" t="s">
        <v>326</v>
      </c>
      <c r="AY116">
        <v>9.7969510149045081E-3</v>
      </c>
      <c r="AZ116">
        <f>RESULTADOS_R!$T$49</f>
        <v>3.5589999999999998E-4</v>
      </c>
      <c r="BA116">
        <f t="shared" si="10"/>
        <v>9.4410510149045088E-3</v>
      </c>
    </row>
    <row r="117" spans="1:53" x14ac:dyDescent="0.25">
      <c r="A117" t="s">
        <v>132</v>
      </c>
      <c r="B117" t="s">
        <v>327</v>
      </c>
      <c r="C117">
        <v>2.2126148364756827E-2</v>
      </c>
      <c r="D117">
        <f>RESULTADOS_R!$T$31</f>
        <v>2.8909999999999998E-4</v>
      </c>
      <c r="E117">
        <f t="shared" si="7"/>
        <v>2.1837048364756827E-2</v>
      </c>
      <c r="F117" s="3"/>
      <c r="G117" t="s">
        <v>132</v>
      </c>
      <c r="H117" t="s">
        <v>327</v>
      </c>
      <c r="I117">
        <v>0</v>
      </c>
      <c r="J117">
        <v>8.2962967721468724E-4</v>
      </c>
      <c r="K117">
        <v>-5.9266285146132667E-4</v>
      </c>
      <c r="L117">
        <v>-9.4753056953006583E-4</v>
      </c>
      <c r="M117">
        <v>1.1839223360780609E-4</v>
      </c>
      <c r="N117">
        <f>RESULTADOS_R!$T$32+(RESULTADOS_R!$T$33*I116)+(RESULTADOS_R!$T$34*I115)+(RESULTADOS_R!$T$35*I114)+(RESULTADOS_R!$T$36*I113)</f>
        <v>-2.2256631726191622E-4</v>
      </c>
      <c r="O117">
        <f t="shared" si="11"/>
        <v>2.2256631726191622E-4</v>
      </c>
      <c r="P117" s="3"/>
      <c r="Q117" t="s">
        <v>132</v>
      </c>
      <c r="R117" t="s">
        <v>327</v>
      </c>
      <c r="S117">
        <v>2.27384865226169E-2</v>
      </c>
      <c r="T117">
        <f>RESULTADOS_R!$T$37</f>
        <v>-1.944E-3</v>
      </c>
      <c r="U117">
        <f t="shared" si="8"/>
        <v>2.4682486522616901E-2</v>
      </c>
      <c r="V117" s="3"/>
      <c r="W117" t="s">
        <v>132</v>
      </c>
      <c r="X117" t="s">
        <v>327</v>
      </c>
      <c r="Y117">
        <v>6.2104915956476887E-2</v>
      </c>
      <c r="Z117">
        <f>RESULTADOS_R!$T$38</f>
        <v>-1.799E-3</v>
      </c>
      <c r="AA117">
        <f t="shared" si="9"/>
        <v>6.3903915956476889E-2</v>
      </c>
      <c r="AB117" s="3"/>
      <c r="AC117" t="s">
        <v>132</v>
      </c>
      <c r="AD117" t="s">
        <v>327</v>
      </c>
      <c r="AE117">
        <v>-8.2201639431802274E-3</v>
      </c>
      <c r="AF117">
        <v>-2.3145424942655748E-3</v>
      </c>
      <c r="AG117">
        <v>4.9505051598559835E-3</v>
      </c>
      <c r="AH117">
        <v>1.3698630158413185E-4</v>
      </c>
      <c r="AI117">
        <v>3.1619387163514621E-4</v>
      </c>
      <c r="AJ117">
        <f>RESULTADOS_R!$T$39+(RESULTADOS_R!$T$40*AE116)+(RESULTADOS_R!$T$41*AE115)+(RESULTADOS_R!$T$42*AE114)+(RESULTADOS_R!$T$43*AE113)</f>
        <v>-8.3655283430897928E-4</v>
      </c>
      <c r="AK117">
        <f t="shared" si="12"/>
        <v>-7.3836111088712479E-3</v>
      </c>
      <c r="AL117" s="3"/>
      <c r="AM117" t="s">
        <v>132</v>
      </c>
      <c r="AN117" t="s">
        <v>327</v>
      </c>
      <c r="AO117">
        <v>-3.8435390788683915E-4</v>
      </c>
      <c r="AP117">
        <v>-1.3078789407817487E-2</v>
      </c>
      <c r="AQ117">
        <v>1.7866876407174132E-2</v>
      </c>
      <c r="AR117">
        <v>5.2409210586361107E-3</v>
      </c>
      <c r="AS117">
        <v>6.2634181183045265E-3</v>
      </c>
      <c r="AT117">
        <f>RESULTADOS_R!$T$44+(RESULTADOS_R!$T$45*AO116)+(RESULTADOS_R!$T$46*AO115)+(RESULTADOS_R!$T$47*AO114)+(RESULTADOS_R!$T$48*AO113)</f>
        <v>-7.9977030802097521E-3</v>
      </c>
      <c r="AU117">
        <f t="shared" si="13"/>
        <v>7.613349172322913E-3</v>
      </c>
      <c r="AV117" s="3"/>
      <c r="AW117" t="s">
        <v>132</v>
      </c>
      <c r="AX117" t="s">
        <v>327</v>
      </c>
      <c r="AY117">
        <v>-5.3883445124649279E-3</v>
      </c>
      <c r="AZ117">
        <f>RESULTADOS_R!$T$49</f>
        <v>3.5589999999999998E-4</v>
      </c>
      <c r="BA117">
        <f t="shared" si="10"/>
        <v>-5.744244512464928E-3</v>
      </c>
    </row>
    <row r="118" spans="1:53" x14ac:dyDescent="0.25">
      <c r="A118" t="s">
        <v>132</v>
      </c>
      <c r="B118" t="s">
        <v>328</v>
      </c>
      <c r="C118">
        <v>-2.445600339325641E-3</v>
      </c>
      <c r="D118">
        <f>RESULTADOS_R!$T$31</f>
        <v>2.8909999999999998E-4</v>
      </c>
      <c r="E118">
        <f t="shared" si="7"/>
        <v>-2.734700339325641E-3</v>
      </c>
      <c r="F118" s="3"/>
      <c r="G118" t="s">
        <v>132</v>
      </c>
      <c r="H118" t="s">
        <v>328</v>
      </c>
      <c r="I118">
        <v>1.7754635663536982E-3</v>
      </c>
      <c r="J118">
        <v>0</v>
      </c>
      <c r="K118">
        <v>8.2962967721468724E-4</v>
      </c>
      <c r="L118">
        <v>-5.9266285146132667E-4</v>
      </c>
      <c r="M118">
        <v>-9.4753056953006583E-4</v>
      </c>
      <c r="N118">
        <f>RESULTADOS_R!$T$32+(RESULTADOS_R!$T$33*I117)+(RESULTADOS_R!$T$34*I116)+(RESULTADOS_R!$T$35*I115)+(RESULTADOS_R!$T$36*I114)</f>
        <v>7.6870854497853051E-6</v>
      </c>
      <c r="O118">
        <f t="shared" si="11"/>
        <v>1.767776480903913E-3</v>
      </c>
      <c r="P118" s="3"/>
      <c r="Q118" t="s">
        <v>132</v>
      </c>
      <c r="R118" t="s">
        <v>328</v>
      </c>
      <c r="S118">
        <v>9.6644411320078533E-2</v>
      </c>
      <c r="T118">
        <f>RESULTADOS_R!$T$37</f>
        <v>-1.944E-3</v>
      </c>
      <c r="U118">
        <f t="shared" si="8"/>
        <v>9.8588411320078534E-2</v>
      </c>
      <c r="V118" s="3"/>
      <c r="W118" t="s">
        <v>132</v>
      </c>
      <c r="X118" t="s">
        <v>328</v>
      </c>
      <c r="Y118">
        <v>5.4437342461690318E-2</v>
      </c>
      <c r="Z118">
        <f>RESULTADOS_R!$T$38</f>
        <v>-1.799E-3</v>
      </c>
      <c r="AA118">
        <f t="shared" si="9"/>
        <v>5.623634246169032E-2</v>
      </c>
      <c r="AB118" s="3"/>
      <c r="AC118" t="s">
        <v>132</v>
      </c>
      <c r="AD118" t="s">
        <v>328</v>
      </c>
      <c r="AE118">
        <v>1.071817103584552E-2</v>
      </c>
      <c r="AF118">
        <v>-8.2201639431802274E-3</v>
      </c>
      <c r="AG118">
        <v>-2.3145424942655748E-3</v>
      </c>
      <c r="AH118">
        <v>4.9505051598559835E-3</v>
      </c>
      <c r="AI118">
        <v>1.3698630158413185E-4</v>
      </c>
      <c r="AJ118">
        <f>RESULTADOS_R!$T$39+(RESULTADOS_R!$T$40*AE117)+(RESULTADOS_R!$T$41*AE116)+(RESULTADOS_R!$T$42*AE115)+(RESULTADOS_R!$T$43*AE114)</f>
        <v>1.07422693924866E-4</v>
      </c>
      <c r="AK118">
        <f t="shared" si="12"/>
        <v>1.0610748341920653E-2</v>
      </c>
      <c r="AL118" s="3"/>
      <c r="AM118" t="s">
        <v>132</v>
      </c>
      <c r="AN118" t="s">
        <v>328</v>
      </c>
      <c r="AO118">
        <v>9.396925890028782E-3</v>
      </c>
      <c r="AP118">
        <v>-3.8435390788683915E-4</v>
      </c>
      <c r="AQ118">
        <v>-1.3078789407817487E-2</v>
      </c>
      <c r="AR118">
        <v>1.7866876407174132E-2</v>
      </c>
      <c r="AS118">
        <v>5.2409210586361107E-3</v>
      </c>
      <c r="AT118">
        <f>RESULTADOS_R!$T$44+(RESULTADOS_R!$T$45*AO117)+(RESULTADOS_R!$T$46*AO116)+(RESULTADOS_R!$T$47*AO115)+(RESULTADOS_R!$T$48*AO114)</f>
        <v>7.3026357181900942E-3</v>
      </c>
      <c r="AU118">
        <f t="shared" si="13"/>
        <v>2.0942901718386878E-3</v>
      </c>
      <c r="AV118" s="3"/>
      <c r="AW118" t="s">
        <v>132</v>
      </c>
      <c r="AX118" t="s">
        <v>328</v>
      </c>
      <c r="AY118">
        <v>9.5178000377739154E-4</v>
      </c>
      <c r="AZ118">
        <f>RESULTADOS_R!$T$49</f>
        <v>3.5589999999999998E-4</v>
      </c>
      <c r="BA118">
        <f t="shared" si="10"/>
        <v>5.9588000377739161E-4</v>
      </c>
    </row>
    <row r="119" spans="1:53" x14ac:dyDescent="0.25">
      <c r="A119" t="s">
        <v>132</v>
      </c>
      <c r="B119" t="s">
        <v>329</v>
      </c>
      <c r="C119">
        <v>-1.5594426756135317E-2</v>
      </c>
      <c r="D119">
        <f>RESULTADOS_R!$T$31</f>
        <v>2.8909999999999998E-4</v>
      </c>
      <c r="E119">
        <f t="shared" si="7"/>
        <v>-1.5883526756135316E-2</v>
      </c>
      <c r="F119" s="3"/>
      <c r="G119" t="s">
        <v>132</v>
      </c>
      <c r="H119" t="s">
        <v>329</v>
      </c>
      <c r="I119">
        <v>2.0083886483904735E-3</v>
      </c>
      <c r="J119">
        <v>1.7754635663536982E-3</v>
      </c>
      <c r="K119">
        <v>0</v>
      </c>
      <c r="L119">
        <v>8.2962967721468724E-4</v>
      </c>
      <c r="M119">
        <v>-5.9266285146132667E-4</v>
      </c>
      <c r="N119">
        <f>RESULTADOS_R!$T$32+(RESULTADOS_R!$T$33*I118)+(RESULTADOS_R!$T$34*I117)+(RESULTADOS_R!$T$35*I116)+(RESULTADOS_R!$T$36*I115)</f>
        <v>-2.6785410971749685E-4</v>
      </c>
      <c r="O119">
        <f t="shared" si="11"/>
        <v>2.2762427581079704E-3</v>
      </c>
      <c r="P119" s="3"/>
      <c r="Q119" t="s">
        <v>132</v>
      </c>
      <c r="R119" t="s">
        <v>329</v>
      </c>
      <c r="S119">
        <v>2.6533406029570768E-2</v>
      </c>
      <c r="T119">
        <f>RESULTADOS_R!$T$37</f>
        <v>-1.944E-3</v>
      </c>
      <c r="U119">
        <f t="shared" si="8"/>
        <v>2.847740602957077E-2</v>
      </c>
      <c r="V119" s="3"/>
      <c r="W119" t="s">
        <v>132</v>
      </c>
      <c r="X119" t="s">
        <v>329</v>
      </c>
      <c r="Y119">
        <v>1.8088298572163458E-2</v>
      </c>
      <c r="Z119">
        <f>RESULTADOS_R!$T$38</f>
        <v>-1.799E-3</v>
      </c>
      <c r="AA119">
        <f t="shared" si="9"/>
        <v>1.9887298572163457E-2</v>
      </c>
      <c r="AB119" s="3"/>
      <c r="AC119" t="s">
        <v>132</v>
      </c>
      <c r="AD119" t="s">
        <v>329</v>
      </c>
      <c r="AE119">
        <v>1.8343230203090824E-2</v>
      </c>
      <c r="AF119">
        <v>1.071817103584552E-2</v>
      </c>
      <c r="AG119">
        <v>-8.2201639431802274E-3</v>
      </c>
      <c r="AH119">
        <v>-2.3145424942655748E-3</v>
      </c>
      <c r="AI119">
        <v>4.9505051598559835E-3</v>
      </c>
      <c r="AJ119">
        <f>RESULTADOS_R!$T$39+(RESULTADOS_R!$T$40*AE118)+(RESULTADOS_R!$T$41*AE117)+(RESULTADOS_R!$T$42*AE116)+(RESULTADOS_R!$T$43*AE115)</f>
        <v>2.8801901514401776E-3</v>
      </c>
      <c r="AK119">
        <f t="shared" si="12"/>
        <v>1.5463040051650646E-2</v>
      </c>
      <c r="AL119" s="3"/>
      <c r="AM119" t="s">
        <v>132</v>
      </c>
      <c r="AN119" t="s">
        <v>329</v>
      </c>
      <c r="AO119">
        <v>3.8121239354290487E-2</v>
      </c>
      <c r="AP119">
        <v>9.396925890028782E-3</v>
      </c>
      <c r="AQ119">
        <v>-3.8435390788683915E-4</v>
      </c>
      <c r="AR119">
        <v>-1.3078789407817487E-2</v>
      </c>
      <c r="AS119">
        <v>1.7866876407174132E-2</v>
      </c>
      <c r="AT119">
        <f>RESULTADOS_R!$T$44+(RESULTADOS_R!$T$45*AO118)+(RESULTADOS_R!$T$46*AO117)+(RESULTADOS_R!$T$47*AO116)+(RESULTADOS_R!$T$48*AO115)</f>
        <v>-1.0537712770967754E-3</v>
      </c>
      <c r="AU119">
        <f t="shared" si="13"/>
        <v>3.9175010631387265E-2</v>
      </c>
      <c r="AV119" s="3"/>
      <c r="AW119" t="s">
        <v>132</v>
      </c>
      <c r="AX119" t="s">
        <v>329</v>
      </c>
      <c r="AY119">
        <v>7.2328201729695415E-3</v>
      </c>
      <c r="AZ119">
        <f>RESULTADOS_R!$T$49</f>
        <v>3.5589999999999998E-4</v>
      </c>
      <c r="BA119">
        <f t="shared" si="10"/>
        <v>6.8769201729695414E-3</v>
      </c>
    </row>
    <row r="120" spans="1:53" x14ac:dyDescent="0.25">
      <c r="A120" t="s">
        <v>132</v>
      </c>
      <c r="B120" t="s">
        <v>330</v>
      </c>
      <c r="C120">
        <v>1.8470983448989332E-2</v>
      </c>
      <c r="D120">
        <f>RESULTADOS_R!$T$31</f>
        <v>2.8909999999999998E-4</v>
      </c>
      <c r="E120">
        <f t="shared" si="7"/>
        <v>1.8181883448989331E-2</v>
      </c>
      <c r="F120" s="3"/>
      <c r="G120" t="s">
        <v>132</v>
      </c>
      <c r="H120" t="s">
        <v>330</v>
      </c>
      <c r="I120">
        <v>-3.3100869565636285E-3</v>
      </c>
      <c r="J120">
        <v>2.0083886483904735E-3</v>
      </c>
      <c r="K120">
        <v>1.7754635663536982E-3</v>
      </c>
      <c r="L120">
        <v>0</v>
      </c>
      <c r="M120">
        <v>8.2962967721468724E-4</v>
      </c>
      <c r="N120">
        <f>RESULTADOS_R!$T$32+(RESULTADOS_R!$T$33*I119)+(RESULTADOS_R!$T$34*I118)+(RESULTADOS_R!$T$35*I117)+(RESULTADOS_R!$T$36*I116)</f>
        <v>-9.8871616315953357E-4</v>
      </c>
      <c r="O120">
        <f t="shared" si="11"/>
        <v>-2.3213707934040947E-3</v>
      </c>
      <c r="P120" s="3"/>
      <c r="Q120" t="s">
        <v>132</v>
      </c>
      <c r="R120" t="s">
        <v>330</v>
      </c>
      <c r="S120">
        <v>-9.7537507773346552E-3</v>
      </c>
      <c r="T120">
        <f>RESULTADOS_R!$T$37</f>
        <v>-1.944E-3</v>
      </c>
      <c r="U120">
        <f t="shared" si="8"/>
        <v>-7.8097507773346557E-3</v>
      </c>
      <c r="V120" s="3"/>
      <c r="W120" t="s">
        <v>132</v>
      </c>
      <c r="X120" t="s">
        <v>330</v>
      </c>
      <c r="Y120">
        <v>-7.5529863466665256E-3</v>
      </c>
      <c r="Z120">
        <f>RESULTADOS_R!$T$38</f>
        <v>-1.799E-3</v>
      </c>
      <c r="AA120">
        <f t="shared" si="9"/>
        <v>-5.7539863466665253E-3</v>
      </c>
      <c r="AB120" s="3"/>
      <c r="AC120" t="s">
        <v>132</v>
      </c>
      <c r="AD120" t="s">
        <v>330</v>
      </c>
      <c r="AE120">
        <v>-8.8439660212268935E-3</v>
      </c>
      <c r="AF120">
        <v>1.8343230203090824E-2</v>
      </c>
      <c r="AG120">
        <v>1.071817103584552E-2</v>
      </c>
      <c r="AH120">
        <v>-8.2201639431802274E-3</v>
      </c>
      <c r="AI120">
        <v>-2.3145424942655748E-3</v>
      </c>
      <c r="AJ120">
        <f>RESULTADOS_R!$T$39+(RESULTADOS_R!$T$40*AE119)+(RESULTADOS_R!$T$41*AE118)+(RESULTADOS_R!$T$42*AE117)+(RESULTADOS_R!$T$43*AE116)</f>
        <v>-4.0434076292012404E-4</v>
      </c>
      <c r="AK120">
        <f t="shared" si="12"/>
        <v>-8.4396252583067693E-3</v>
      </c>
      <c r="AL120" s="3"/>
      <c r="AM120" t="s">
        <v>132</v>
      </c>
      <c r="AN120" t="s">
        <v>330</v>
      </c>
      <c r="AO120">
        <v>-4.7770319598934184E-3</v>
      </c>
      <c r="AP120">
        <v>3.8121239354290487E-2</v>
      </c>
      <c r="AQ120">
        <v>9.396925890028782E-3</v>
      </c>
      <c r="AR120">
        <v>-3.8435390788683915E-4</v>
      </c>
      <c r="AS120">
        <v>-1.3078789407817487E-2</v>
      </c>
      <c r="AT120">
        <f>RESULTADOS_R!$T$44+(RESULTADOS_R!$T$45*AO119)+(RESULTADOS_R!$T$46*AO118)+(RESULTADOS_R!$T$47*AO117)+(RESULTADOS_R!$T$48*AO116)</f>
        <v>9.9396615300453382E-3</v>
      </c>
      <c r="AU120">
        <f t="shared" si="13"/>
        <v>-1.4716693489938756E-2</v>
      </c>
      <c r="AV120" s="3"/>
      <c r="AW120" t="s">
        <v>132</v>
      </c>
      <c r="AX120" t="s">
        <v>330</v>
      </c>
      <c r="AY120">
        <v>-2.464141618472772E-4</v>
      </c>
      <c r="AZ120">
        <f>RESULTADOS_R!$T$49</f>
        <v>3.5589999999999998E-4</v>
      </c>
      <c r="BA120">
        <f t="shared" si="10"/>
        <v>-6.0231416184727718E-4</v>
      </c>
    </row>
    <row r="121" spans="1:53" x14ac:dyDescent="0.25">
      <c r="A121" t="s">
        <v>132</v>
      </c>
      <c r="B121" t="s">
        <v>331</v>
      </c>
      <c r="C121">
        <v>-5.2685655519010824E-3</v>
      </c>
      <c r="D121">
        <f>RESULTADOS_R!$T$31</f>
        <v>2.8909999999999998E-4</v>
      </c>
      <c r="E121">
        <f t="shared" si="7"/>
        <v>-5.557665551901082E-3</v>
      </c>
      <c r="F121" s="3"/>
      <c r="G121" t="s">
        <v>132</v>
      </c>
      <c r="H121" t="s">
        <v>331</v>
      </c>
      <c r="I121">
        <v>0</v>
      </c>
      <c r="J121">
        <v>-3.3100869565636285E-3</v>
      </c>
      <c r="K121">
        <v>2.0083886483904735E-3</v>
      </c>
      <c r="L121">
        <v>1.7754635663536982E-3</v>
      </c>
      <c r="M121">
        <v>0</v>
      </c>
      <c r="N121">
        <f>RESULTADOS_R!$T$32+(RESULTADOS_R!$T$33*I120)+(RESULTADOS_R!$T$34*I119)+(RESULTADOS_R!$T$35*I118)+(RESULTADOS_R!$T$36*I117)</f>
        <v>-3.7595213728666363E-4</v>
      </c>
      <c r="O121">
        <f t="shared" si="11"/>
        <v>3.7595213728666363E-4</v>
      </c>
      <c r="P121" s="3"/>
      <c r="Q121" t="s">
        <v>132</v>
      </c>
      <c r="R121" t="s">
        <v>331</v>
      </c>
      <c r="S121">
        <v>-3.4094449243952517E-2</v>
      </c>
      <c r="T121">
        <f>RESULTADOS_R!$T$37</f>
        <v>-1.944E-3</v>
      </c>
      <c r="U121">
        <f t="shared" si="8"/>
        <v>-3.2150449243952516E-2</v>
      </c>
      <c r="V121" s="3"/>
      <c r="W121" t="s">
        <v>132</v>
      </c>
      <c r="X121" t="s">
        <v>331</v>
      </c>
      <c r="Y121">
        <v>-3.9990684099915033E-2</v>
      </c>
      <c r="Z121">
        <f>RESULTADOS_R!$T$38</f>
        <v>-1.799E-3</v>
      </c>
      <c r="AA121">
        <f t="shared" si="9"/>
        <v>-3.8191684099915031E-2</v>
      </c>
      <c r="AB121" s="3"/>
      <c r="AC121" t="s">
        <v>132</v>
      </c>
      <c r="AD121" t="s">
        <v>331</v>
      </c>
      <c r="AE121">
        <v>4.7134227918928292E-3</v>
      </c>
      <c r="AF121">
        <v>-8.8439660212268935E-3</v>
      </c>
      <c r="AG121">
        <v>1.8343230203090824E-2</v>
      </c>
      <c r="AH121">
        <v>1.071817103584552E-2</v>
      </c>
      <c r="AI121">
        <v>-8.2201639431802274E-3</v>
      </c>
      <c r="AJ121">
        <f>RESULTADOS_R!$T$39+(RESULTADOS_R!$T$40*AE120)+(RESULTADOS_R!$T$41*AE119)+(RESULTADOS_R!$T$42*AE118)+(RESULTADOS_R!$T$43*AE117)</f>
        <v>-4.1642011183927472E-3</v>
      </c>
      <c r="AK121">
        <f t="shared" si="12"/>
        <v>8.8776239102855772E-3</v>
      </c>
      <c r="AL121" s="3"/>
      <c r="AM121" t="s">
        <v>132</v>
      </c>
      <c r="AN121" t="s">
        <v>331</v>
      </c>
      <c r="AO121">
        <v>-3.4994342193680902E-3</v>
      </c>
      <c r="AP121">
        <v>-4.7770319598934184E-3</v>
      </c>
      <c r="AQ121">
        <v>3.8121239354290487E-2</v>
      </c>
      <c r="AR121">
        <v>9.396925890028782E-3</v>
      </c>
      <c r="AS121">
        <v>-3.8435390788683915E-4</v>
      </c>
      <c r="AT121">
        <f>RESULTADOS_R!$T$44+(RESULTADOS_R!$T$45*AO120)+(RESULTADOS_R!$T$46*AO119)+(RESULTADOS_R!$T$47*AO118)+(RESULTADOS_R!$T$48*AO117)</f>
        <v>-9.5071192374922616E-3</v>
      </c>
      <c r="AU121">
        <f t="shared" si="13"/>
        <v>6.007685018124171E-3</v>
      </c>
      <c r="AV121" s="3"/>
      <c r="AW121" t="s">
        <v>132</v>
      </c>
      <c r="AX121" t="s">
        <v>331</v>
      </c>
      <c r="AY121">
        <v>4.0989963627491369E-3</v>
      </c>
      <c r="AZ121">
        <f>RESULTADOS_R!$T$49</f>
        <v>3.5589999999999998E-4</v>
      </c>
      <c r="BA121">
        <f t="shared" si="10"/>
        <v>3.7430963627491367E-3</v>
      </c>
    </row>
    <row r="122" spans="1:53" x14ac:dyDescent="0.25">
      <c r="A122" t="s">
        <v>132</v>
      </c>
      <c r="B122" t="s">
        <v>332</v>
      </c>
      <c r="C122">
        <v>-7.9656579014163158E-3</v>
      </c>
      <c r="D122">
        <f>RESULTADOS_R!$T$31</f>
        <v>2.8909999999999998E-4</v>
      </c>
      <c r="E122">
        <f t="shared" si="7"/>
        <v>-8.2547579014163163E-3</v>
      </c>
      <c r="F122" s="3"/>
      <c r="G122" t="s">
        <v>132</v>
      </c>
      <c r="H122" t="s">
        <v>332</v>
      </c>
      <c r="I122">
        <v>1.0651518848347041E-3</v>
      </c>
      <c r="J122">
        <v>0</v>
      </c>
      <c r="K122">
        <v>-3.3100869565636285E-3</v>
      </c>
      <c r="L122">
        <v>2.0083886483904735E-3</v>
      </c>
      <c r="M122">
        <v>1.7754635663536982E-3</v>
      </c>
      <c r="N122">
        <f>RESULTADOS_R!$T$32+(RESULTADOS_R!$T$33*I121)+(RESULTADOS_R!$T$34*I120)+(RESULTADOS_R!$T$35*I119)+(RESULTADOS_R!$T$36*I118)</f>
        <v>-5.7772242719208262E-4</v>
      </c>
      <c r="O122">
        <f t="shared" si="11"/>
        <v>1.6428743120267867E-3</v>
      </c>
      <c r="P122" s="3"/>
      <c r="Q122" t="s">
        <v>132</v>
      </c>
      <c r="R122" t="s">
        <v>332</v>
      </c>
      <c r="S122">
        <v>-8.1285334669332271E-2</v>
      </c>
      <c r="T122">
        <f>RESULTADOS_R!$T$37</f>
        <v>-1.944E-3</v>
      </c>
      <c r="U122">
        <f t="shared" si="8"/>
        <v>-7.934133466933227E-2</v>
      </c>
      <c r="V122" s="3"/>
      <c r="W122" t="s">
        <v>132</v>
      </c>
      <c r="X122" t="s">
        <v>332</v>
      </c>
      <c r="Y122">
        <v>-7.9766412488926478E-2</v>
      </c>
      <c r="Z122">
        <f>RESULTADOS_R!$T$38</f>
        <v>-1.799E-3</v>
      </c>
      <c r="AA122">
        <f t="shared" si="9"/>
        <v>-7.7967412488926482E-2</v>
      </c>
      <c r="AB122" s="3"/>
      <c r="AC122" t="s">
        <v>132</v>
      </c>
      <c r="AD122" t="s">
        <v>332</v>
      </c>
      <c r="AE122">
        <v>1.7030583303383251E-2</v>
      </c>
      <c r="AF122">
        <v>4.7134227918928292E-3</v>
      </c>
      <c r="AG122">
        <v>-8.8439660212268935E-3</v>
      </c>
      <c r="AH122">
        <v>1.8343230203090824E-2</v>
      </c>
      <c r="AI122">
        <v>1.071817103584552E-2</v>
      </c>
      <c r="AJ122">
        <f>RESULTADOS_R!$T$39+(RESULTADOS_R!$T$40*AE121)+(RESULTADOS_R!$T$41*AE120)+(RESULTADOS_R!$T$42*AE119)+(RESULTADOS_R!$T$43*AE118)</f>
        <v>2.7523496682071457E-3</v>
      </c>
      <c r="AK122">
        <f t="shared" si="12"/>
        <v>1.4278233635176106E-2</v>
      </c>
      <c r="AL122" s="3"/>
      <c r="AM122" t="s">
        <v>132</v>
      </c>
      <c r="AN122" t="s">
        <v>332</v>
      </c>
      <c r="AO122">
        <v>1.9915623187535567E-2</v>
      </c>
      <c r="AP122">
        <v>-3.4994342193680902E-3</v>
      </c>
      <c r="AQ122">
        <v>-4.7770319598934184E-3</v>
      </c>
      <c r="AR122">
        <v>3.8121239354290487E-2</v>
      </c>
      <c r="AS122">
        <v>9.396925890028782E-3</v>
      </c>
      <c r="AT122">
        <f>RESULTADOS_R!$T$44+(RESULTADOS_R!$T$45*AO121)+(RESULTADOS_R!$T$46*AO120)+(RESULTADOS_R!$T$47*AO119)+(RESULTADOS_R!$T$48*AO118)</f>
        <v>8.6668619301752663E-3</v>
      </c>
      <c r="AU122">
        <f t="shared" si="13"/>
        <v>1.1248761257360301E-2</v>
      </c>
      <c r="AV122" s="3"/>
      <c r="AW122" t="s">
        <v>132</v>
      </c>
      <c r="AX122" t="s">
        <v>332</v>
      </c>
      <c r="AY122">
        <v>8.7867675236169406E-3</v>
      </c>
      <c r="AZ122">
        <f>RESULTADOS_R!$T$49</f>
        <v>3.5589999999999998E-4</v>
      </c>
      <c r="BA122">
        <f t="shared" si="10"/>
        <v>8.4308675236169413E-3</v>
      </c>
    </row>
    <row r="123" spans="1:53" x14ac:dyDescent="0.25">
      <c r="A123" t="s">
        <v>132</v>
      </c>
      <c r="B123" t="s">
        <v>333</v>
      </c>
      <c r="C123">
        <v>-2.9962522550535008E-2</v>
      </c>
      <c r="D123">
        <f>RESULTADOS_R!$T$31</f>
        <v>2.8909999999999998E-4</v>
      </c>
      <c r="E123">
        <f t="shared" si="7"/>
        <v>-3.0251622550535009E-2</v>
      </c>
      <c r="F123" s="3"/>
      <c r="G123" t="s">
        <v>132</v>
      </c>
      <c r="H123" t="s">
        <v>333</v>
      </c>
      <c r="I123">
        <v>-1.302006457235276E-3</v>
      </c>
      <c r="J123">
        <v>1.0651518848347041E-3</v>
      </c>
      <c r="K123">
        <v>0</v>
      </c>
      <c r="L123">
        <v>-3.3100869565636285E-3</v>
      </c>
      <c r="M123">
        <v>2.0083886483904735E-3</v>
      </c>
      <c r="N123">
        <f>RESULTADOS_R!$T$32+(RESULTADOS_R!$T$33*I122)+(RESULTADOS_R!$T$34*I121)+(RESULTADOS_R!$T$35*I120)+(RESULTADOS_R!$T$36*I119)</f>
        <v>-8.3100103435342076E-4</v>
      </c>
      <c r="O123">
        <f t="shared" si="11"/>
        <v>-4.7100542288185522E-4</v>
      </c>
      <c r="P123" s="3"/>
      <c r="Q123" t="s">
        <v>132</v>
      </c>
      <c r="R123" t="s">
        <v>333</v>
      </c>
      <c r="S123">
        <v>-2.7866269304499848E-2</v>
      </c>
      <c r="T123">
        <f>RESULTADOS_R!$T$37</f>
        <v>-1.944E-3</v>
      </c>
      <c r="U123">
        <f t="shared" si="8"/>
        <v>-2.5922269304499847E-2</v>
      </c>
      <c r="V123" s="3"/>
      <c r="W123" t="s">
        <v>132</v>
      </c>
      <c r="X123" t="s">
        <v>333</v>
      </c>
      <c r="Y123">
        <v>-4.6689380227712053E-2</v>
      </c>
      <c r="Z123">
        <f>RESULTADOS_R!$T$38</f>
        <v>-1.799E-3</v>
      </c>
      <c r="AA123">
        <f t="shared" si="9"/>
        <v>-4.4890380227712051E-2</v>
      </c>
      <c r="AB123" s="3"/>
      <c r="AC123" t="s">
        <v>132</v>
      </c>
      <c r="AD123" t="s">
        <v>333</v>
      </c>
      <c r="AE123">
        <v>1.4955302737674541E-2</v>
      </c>
      <c r="AF123">
        <v>1.7030583303383251E-2</v>
      </c>
      <c r="AG123">
        <v>4.7134227918928292E-3</v>
      </c>
      <c r="AH123">
        <v>-8.8439660212268935E-3</v>
      </c>
      <c r="AI123">
        <v>1.8343230203090824E-2</v>
      </c>
      <c r="AJ123">
        <f>RESULTADOS_R!$T$39+(RESULTADOS_R!$T$40*AE122)+(RESULTADOS_R!$T$41*AE121)+(RESULTADOS_R!$T$42*AE120)+(RESULTADOS_R!$T$43*AE119)</f>
        <v>1.2485841922894997E-3</v>
      </c>
      <c r="AK123">
        <f t="shared" si="12"/>
        <v>1.3706718545385042E-2</v>
      </c>
      <c r="AL123" s="3"/>
      <c r="AM123" t="s">
        <v>132</v>
      </c>
      <c r="AN123" t="s">
        <v>333</v>
      </c>
      <c r="AO123">
        <v>-2.9615428295782571E-4</v>
      </c>
      <c r="AP123">
        <v>1.9915623187535567E-2</v>
      </c>
      <c r="AQ123">
        <v>-3.4994342193680902E-3</v>
      </c>
      <c r="AR123">
        <v>-4.7770319598934184E-3</v>
      </c>
      <c r="AS123">
        <v>3.8121239354290487E-2</v>
      </c>
      <c r="AT123">
        <f>RESULTADOS_R!$T$44+(RESULTADOS_R!$T$45*AO122)+(RESULTADOS_R!$T$46*AO121)+(RESULTADOS_R!$T$47*AO120)+(RESULTADOS_R!$T$48*AO119)</f>
        <v>3.9278288843093232E-3</v>
      </c>
      <c r="AU123">
        <f t="shared" si="13"/>
        <v>-4.2239831672671486E-3</v>
      </c>
      <c r="AV123" s="3"/>
      <c r="AW123" t="s">
        <v>132</v>
      </c>
      <c r="AX123" t="s">
        <v>333</v>
      </c>
      <c r="AY123">
        <v>6.5171165439380759E-3</v>
      </c>
      <c r="AZ123">
        <f>RESULTADOS_R!$T$49</f>
        <v>3.5589999999999998E-4</v>
      </c>
      <c r="BA123">
        <f t="shared" si="10"/>
        <v>6.1612165439380757E-3</v>
      </c>
    </row>
    <row r="124" spans="1:53" x14ac:dyDescent="0.25">
      <c r="A124" t="s">
        <v>132</v>
      </c>
      <c r="B124" t="s">
        <v>334</v>
      </c>
      <c r="C124">
        <v>-7.2601279980952522E-3</v>
      </c>
      <c r="D124">
        <f>RESULTADOS_R!$T$31</f>
        <v>2.8909999999999998E-4</v>
      </c>
      <c r="E124">
        <f t="shared" si="7"/>
        <v>-7.5492279980952518E-3</v>
      </c>
      <c r="F124" s="3"/>
      <c r="G124" t="s">
        <v>132</v>
      </c>
      <c r="H124" t="s">
        <v>334</v>
      </c>
      <c r="I124">
        <v>-1.3037038883564913E-3</v>
      </c>
      <c r="J124">
        <v>-1.302006457235276E-3</v>
      </c>
      <c r="K124">
        <v>1.0651518848347041E-3</v>
      </c>
      <c r="L124">
        <v>0</v>
      </c>
      <c r="M124">
        <v>-3.3100869565636285E-3</v>
      </c>
      <c r="N124">
        <f>RESULTADOS_R!$T$32+(RESULTADOS_R!$T$33*I123)+(RESULTADOS_R!$T$34*I122)+(RESULTADOS_R!$T$35*I121)+(RESULTADOS_R!$T$36*I120)</f>
        <v>8.9595745559512214E-4</v>
      </c>
      <c r="O124">
        <f t="shared" si="11"/>
        <v>-2.1996613439516132E-3</v>
      </c>
      <c r="P124" s="3"/>
      <c r="Q124" t="s">
        <v>132</v>
      </c>
      <c r="R124" t="s">
        <v>334</v>
      </c>
      <c r="S124">
        <v>1.7584681445881625E-2</v>
      </c>
      <c r="T124">
        <f>RESULTADOS_R!$T$37</f>
        <v>-1.944E-3</v>
      </c>
      <c r="U124">
        <f t="shared" si="8"/>
        <v>1.9528681445881626E-2</v>
      </c>
      <c r="V124" s="3"/>
      <c r="W124" t="s">
        <v>132</v>
      </c>
      <c r="X124" t="s">
        <v>334</v>
      </c>
      <c r="Y124">
        <v>3.1129125635542966E-2</v>
      </c>
      <c r="Z124">
        <f>RESULTADOS_R!$T$38</f>
        <v>-1.799E-3</v>
      </c>
      <c r="AA124">
        <f t="shared" si="9"/>
        <v>3.2928125635542968E-2</v>
      </c>
      <c r="AB124" s="3"/>
      <c r="AC124" t="s">
        <v>132</v>
      </c>
      <c r="AD124" t="s">
        <v>334</v>
      </c>
      <c r="AE124">
        <v>2.6812978652432207E-2</v>
      </c>
      <c r="AF124">
        <v>1.4955302737674541E-2</v>
      </c>
      <c r="AG124">
        <v>1.7030583303383251E-2</v>
      </c>
      <c r="AH124">
        <v>4.7134227918928292E-3</v>
      </c>
      <c r="AI124">
        <v>-8.8439660212268935E-3</v>
      </c>
      <c r="AJ124">
        <f>RESULTADOS_R!$T$39+(RESULTADOS_R!$T$40*AE123)+(RESULTADOS_R!$T$41*AE122)+(RESULTADOS_R!$T$42*AE121)+(RESULTADOS_R!$T$43*AE120)</f>
        <v>-2.0453064608920869E-3</v>
      </c>
      <c r="AK124">
        <f t="shared" si="12"/>
        <v>2.8858285113324292E-2</v>
      </c>
      <c r="AL124" s="3"/>
      <c r="AM124" t="s">
        <v>132</v>
      </c>
      <c r="AN124" t="s">
        <v>334</v>
      </c>
      <c r="AO124">
        <v>2.8015512437621473E-2</v>
      </c>
      <c r="AP124">
        <v>-2.9615428295782571E-4</v>
      </c>
      <c r="AQ124">
        <v>1.9915623187535567E-2</v>
      </c>
      <c r="AR124">
        <v>-3.4994342193680902E-3</v>
      </c>
      <c r="AS124">
        <v>-4.7770319598934184E-3</v>
      </c>
      <c r="AT124">
        <f>RESULTADOS_R!$T$44+(RESULTADOS_R!$T$45*AO123)+(RESULTADOS_R!$T$46*AO122)+(RESULTADOS_R!$T$47*AO121)+(RESULTADOS_R!$T$48*AO120)</f>
        <v>-6.0355786595994694E-3</v>
      </c>
      <c r="AU124">
        <f t="shared" si="13"/>
        <v>3.4051091097220945E-2</v>
      </c>
      <c r="AV124" s="3"/>
      <c r="AW124" t="s">
        <v>132</v>
      </c>
      <c r="AX124" t="s">
        <v>334</v>
      </c>
      <c r="AY124">
        <v>-2.3291583719174391E-3</v>
      </c>
      <c r="AZ124">
        <f>RESULTADOS_R!$T$49</f>
        <v>3.5589999999999998E-4</v>
      </c>
      <c r="BA124">
        <f t="shared" si="10"/>
        <v>-2.6850583719174393E-3</v>
      </c>
    </row>
    <row r="125" spans="1:53" x14ac:dyDescent="0.25">
      <c r="A125" t="s">
        <v>132</v>
      </c>
      <c r="B125" t="s">
        <v>335</v>
      </c>
      <c r="C125">
        <v>2.5373672345635229E-2</v>
      </c>
      <c r="D125">
        <f>RESULTADOS_R!$T$31</f>
        <v>2.8909999999999998E-4</v>
      </c>
      <c r="E125">
        <f t="shared" si="7"/>
        <v>2.5084572345635228E-2</v>
      </c>
      <c r="F125" s="3"/>
      <c r="G125" t="s">
        <v>132</v>
      </c>
      <c r="H125" t="s">
        <v>335</v>
      </c>
      <c r="I125">
        <v>-5.9315500879022001E-4</v>
      </c>
      <c r="J125">
        <v>-1.3037038883564913E-3</v>
      </c>
      <c r="K125">
        <v>-1.302006457235276E-3</v>
      </c>
      <c r="L125">
        <v>1.0651518848347041E-3</v>
      </c>
      <c r="M125">
        <v>0</v>
      </c>
      <c r="N125">
        <f>RESULTADOS_R!$T$32+(RESULTADOS_R!$T$33*I124)+(RESULTADOS_R!$T$34*I123)+(RESULTADOS_R!$T$35*I122)+(RESULTADOS_R!$T$36*I121)</f>
        <v>-3.665530648799516E-5</v>
      </c>
      <c r="O125">
        <f t="shared" si="11"/>
        <v>-5.5649970230222485E-4</v>
      </c>
      <c r="P125" s="3"/>
      <c r="Q125" t="s">
        <v>132</v>
      </c>
      <c r="R125" t="s">
        <v>335</v>
      </c>
      <c r="S125">
        <v>8.0460873413540981E-2</v>
      </c>
      <c r="T125">
        <f>RESULTADOS_R!$T$37</f>
        <v>-1.944E-3</v>
      </c>
      <c r="U125">
        <f t="shared" si="8"/>
        <v>8.2404873413540983E-2</v>
      </c>
      <c r="V125" s="3"/>
      <c r="W125" t="s">
        <v>132</v>
      </c>
      <c r="X125" t="s">
        <v>335</v>
      </c>
      <c r="Y125">
        <v>5.7694315475437803E-2</v>
      </c>
      <c r="Z125">
        <f>RESULTADOS_R!$T$38</f>
        <v>-1.799E-3</v>
      </c>
      <c r="AA125">
        <f t="shared" si="9"/>
        <v>5.9493315475437805E-2</v>
      </c>
      <c r="AB125" s="3"/>
      <c r="AC125" t="s">
        <v>132</v>
      </c>
      <c r="AD125" t="s">
        <v>335</v>
      </c>
      <c r="AE125">
        <v>-3.0131610132118004E-2</v>
      </c>
      <c r="AF125">
        <v>2.6812978652432207E-2</v>
      </c>
      <c r="AG125">
        <v>1.4955302737674541E-2</v>
      </c>
      <c r="AH125">
        <v>1.7030583303383251E-2</v>
      </c>
      <c r="AI125">
        <v>4.7134227918928292E-3</v>
      </c>
      <c r="AJ125">
        <f>RESULTADOS_R!$T$39+(RESULTADOS_R!$T$40*AE124)+(RESULTADOS_R!$T$41*AE123)+(RESULTADOS_R!$T$42*AE122)+(RESULTADOS_R!$T$43*AE121)</f>
        <v>-2.6562423139005192E-4</v>
      </c>
      <c r="AK125">
        <f t="shared" si="12"/>
        <v>-2.9865985900727952E-2</v>
      </c>
      <c r="AL125" s="3"/>
      <c r="AM125" t="s">
        <v>132</v>
      </c>
      <c r="AN125" t="s">
        <v>335</v>
      </c>
      <c r="AO125">
        <v>-2.5123970415193028E-2</v>
      </c>
      <c r="AP125">
        <v>2.8015512437621473E-2</v>
      </c>
      <c r="AQ125">
        <v>-2.9615428295782571E-4</v>
      </c>
      <c r="AR125">
        <v>1.9915623187535567E-2</v>
      </c>
      <c r="AS125">
        <v>-3.4994342193680902E-3</v>
      </c>
      <c r="AT125">
        <f>RESULTADOS_R!$T$44+(RESULTADOS_R!$T$45*AO124)+(RESULTADOS_R!$T$46*AO123)+(RESULTADOS_R!$T$47*AO122)+(RESULTADOS_R!$T$48*AO121)</f>
        <v>1.3674418968612562E-2</v>
      </c>
      <c r="AU125">
        <f t="shared" si="13"/>
        <v>-3.8798389383805587E-2</v>
      </c>
      <c r="AV125" s="3"/>
      <c r="AW125" t="s">
        <v>132</v>
      </c>
      <c r="AX125" t="s">
        <v>335</v>
      </c>
      <c r="AY125">
        <v>-1.1105022004651287E-2</v>
      </c>
      <c r="AZ125">
        <f>RESULTADOS_R!$T$49</f>
        <v>3.5589999999999998E-4</v>
      </c>
      <c r="BA125">
        <f t="shared" si="10"/>
        <v>-1.1460922004651286E-2</v>
      </c>
    </row>
    <row r="126" spans="1:53" x14ac:dyDescent="0.25">
      <c r="A126" t="s">
        <v>132</v>
      </c>
      <c r="B126" t="s">
        <v>336</v>
      </c>
      <c r="C126">
        <v>-4.3010818993905854E-3</v>
      </c>
      <c r="D126">
        <f>RESULTADOS_R!$T$31</f>
        <v>2.8909999999999998E-4</v>
      </c>
      <c r="E126">
        <f t="shared" si="7"/>
        <v>-4.590181899390585E-3</v>
      </c>
      <c r="F126" s="3"/>
      <c r="G126" t="s">
        <v>132</v>
      </c>
      <c r="H126" t="s">
        <v>336</v>
      </c>
      <c r="I126">
        <v>-8.3100853598081848E-4</v>
      </c>
      <c r="J126">
        <v>-5.9315500879022001E-4</v>
      </c>
      <c r="K126">
        <v>-1.3037038883564913E-3</v>
      </c>
      <c r="L126">
        <v>-1.302006457235276E-3</v>
      </c>
      <c r="M126">
        <v>1.0651518848347041E-3</v>
      </c>
      <c r="N126">
        <f>RESULTADOS_R!$T$32+(RESULTADOS_R!$T$33*I125)+(RESULTADOS_R!$T$34*I124)+(RESULTADOS_R!$T$35*I123)+(RESULTADOS_R!$T$36*I122)</f>
        <v>-3.0752857937665847E-4</v>
      </c>
      <c r="O126">
        <f t="shared" si="11"/>
        <v>-5.2347995660416001E-4</v>
      </c>
      <c r="P126" s="3"/>
      <c r="Q126" t="s">
        <v>132</v>
      </c>
      <c r="R126" t="s">
        <v>336</v>
      </c>
      <c r="S126">
        <v>-6.2546899974027126E-2</v>
      </c>
      <c r="T126">
        <f>RESULTADOS_R!$T$37</f>
        <v>-1.944E-3</v>
      </c>
      <c r="U126">
        <f t="shared" si="8"/>
        <v>-6.0602899974027125E-2</v>
      </c>
      <c r="V126" s="3"/>
      <c r="W126" t="s">
        <v>132</v>
      </c>
      <c r="X126" t="s">
        <v>336</v>
      </c>
      <c r="Y126">
        <v>-4.5620063956401093E-2</v>
      </c>
      <c r="Z126">
        <f>RESULTADOS_R!$T$38</f>
        <v>-1.799E-3</v>
      </c>
      <c r="AA126">
        <f t="shared" si="9"/>
        <v>-4.3821063956401091E-2</v>
      </c>
      <c r="AB126" s="3"/>
      <c r="AC126" t="s">
        <v>132</v>
      </c>
      <c r="AD126" t="s">
        <v>336</v>
      </c>
      <c r="AE126">
        <v>2.1919328625096225E-3</v>
      </c>
      <c r="AF126">
        <v>-3.0131610132118004E-2</v>
      </c>
      <c r="AG126">
        <v>2.6812978652432207E-2</v>
      </c>
      <c r="AH126">
        <v>1.4955302737674541E-2</v>
      </c>
      <c r="AI126">
        <v>1.7030583303383251E-2</v>
      </c>
      <c r="AJ126">
        <f>RESULTADOS_R!$T$39+(RESULTADOS_R!$T$40*AE125)+(RESULTADOS_R!$T$41*AE124)+(RESULTADOS_R!$T$42*AE123)+(RESULTADOS_R!$T$43*AE122)</f>
        <v>-6.7606037347615186E-3</v>
      </c>
      <c r="AK126">
        <f t="shared" si="12"/>
        <v>8.9525365972711411E-3</v>
      </c>
      <c r="AL126" s="3"/>
      <c r="AM126" t="s">
        <v>132</v>
      </c>
      <c r="AN126" t="s">
        <v>336</v>
      </c>
      <c r="AO126">
        <v>5.7658487646050464E-3</v>
      </c>
      <c r="AP126">
        <v>-2.5123970415193028E-2</v>
      </c>
      <c r="AQ126">
        <v>2.8015512437621473E-2</v>
      </c>
      <c r="AR126">
        <v>-2.9615428295782571E-4</v>
      </c>
      <c r="AS126">
        <v>1.9915623187535567E-2</v>
      </c>
      <c r="AT126">
        <f>RESULTADOS_R!$T$44+(RESULTADOS_R!$T$45*AO125)+(RESULTADOS_R!$T$46*AO124)+(RESULTADOS_R!$T$47*AO123)+(RESULTADOS_R!$T$48*AO122)</f>
        <v>-1.6519733720759908E-2</v>
      </c>
      <c r="AU126">
        <f t="shared" si="13"/>
        <v>2.2285582485364955E-2</v>
      </c>
      <c r="AV126" s="3"/>
      <c r="AW126" t="s">
        <v>132</v>
      </c>
      <c r="AX126" t="s">
        <v>336</v>
      </c>
      <c r="AY126">
        <v>5.4867169072244796E-3</v>
      </c>
      <c r="AZ126">
        <f>RESULTADOS_R!$T$49</f>
        <v>3.5589999999999998E-4</v>
      </c>
      <c r="BA126">
        <f t="shared" si="10"/>
        <v>5.1308169072244794E-3</v>
      </c>
    </row>
  </sheetData>
  <mergeCells count="6">
    <mergeCell ref="AV1:AV126"/>
    <mergeCell ref="F1:F126"/>
    <mergeCell ref="P1:P126"/>
    <mergeCell ref="V1:V126"/>
    <mergeCell ref="AB1:AB126"/>
    <mergeCell ref="AL1:AL126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5F6A7-DBB7-4A9C-AE66-4E03F1BDDAE5}">
  <dimension ref="A1:W49"/>
  <sheetViews>
    <sheetView workbookViewId="0">
      <selection activeCell="O23" sqref="O23"/>
    </sheetView>
  </sheetViews>
  <sheetFormatPr defaultRowHeight="15" x14ac:dyDescent="0.25"/>
  <cols>
    <col min="9" max="9" width="16.28515625" bestFit="1" customWidth="1"/>
    <col min="17" max="17" width="12.7109375" bestFit="1" customWidth="1"/>
    <col min="18" max="18" width="12" bestFit="1" customWidth="1"/>
    <col min="20" max="20" width="11" bestFit="1" customWidth="1"/>
  </cols>
  <sheetData>
    <row r="1" spans="1:23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23" x14ac:dyDescent="0.25">
      <c r="A2" s="16"/>
      <c r="B2" s="9" t="s">
        <v>372</v>
      </c>
      <c r="C2" s="9"/>
      <c r="D2" s="9"/>
      <c r="E2" s="9"/>
      <c r="F2" s="9"/>
      <c r="G2" s="16"/>
      <c r="H2" s="16"/>
      <c r="I2" s="16"/>
      <c r="J2" s="16"/>
      <c r="K2" s="16"/>
      <c r="L2" s="16"/>
      <c r="M2" s="16"/>
      <c r="N2" s="16"/>
      <c r="Q2" s="25" t="s">
        <v>137</v>
      </c>
      <c r="R2" s="25"/>
      <c r="S2" s="25"/>
      <c r="T2" s="25"/>
      <c r="U2" s="25"/>
      <c r="V2" s="25"/>
      <c r="W2" s="25"/>
    </row>
    <row r="3" spans="1:23" x14ac:dyDescent="0.25">
      <c r="A3" s="16"/>
      <c r="B3" s="10" t="s">
        <v>207</v>
      </c>
      <c r="C3" s="10" t="s">
        <v>137</v>
      </c>
      <c r="D3" s="10"/>
      <c r="E3" s="10" t="s">
        <v>206</v>
      </c>
      <c r="F3" s="10"/>
      <c r="G3" s="16"/>
      <c r="H3" s="16"/>
      <c r="I3" s="16"/>
      <c r="J3" s="16"/>
      <c r="K3" s="16"/>
      <c r="L3" s="16"/>
      <c r="M3" s="16"/>
      <c r="N3" s="16"/>
      <c r="Q3" s="13" t="s">
        <v>207</v>
      </c>
      <c r="R3" s="13" t="s">
        <v>376</v>
      </c>
      <c r="S3" s="13" t="s">
        <v>375</v>
      </c>
      <c r="T3" s="13" t="s">
        <v>165</v>
      </c>
      <c r="U3" s="13" t="s">
        <v>167</v>
      </c>
      <c r="V3" s="13" t="s">
        <v>168</v>
      </c>
      <c r="W3" s="13" t="s">
        <v>166</v>
      </c>
    </row>
    <row r="4" spans="1:23" x14ac:dyDescent="0.25">
      <c r="A4" s="16"/>
      <c r="B4" s="11"/>
      <c r="C4" s="13" t="s">
        <v>142</v>
      </c>
      <c r="D4" s="13" t="s">
        <v>143</v>
      </c>
      <c r="E4" s="13" t="s">
        <v>142</v>
      </c>
      <c r="F4" s="13" t="s">
        <v>143</v>
      </c>
      <c r="G4" s="16"/>
      <c r="H4" s="16"/>
      <c r="I4" s="16"/>
      <c r="J4" s="16"/>
      <c r="K4" s="16"/>
      <c r="L4" s="16"/>
      <c r="M4" s="16"/>
      <c r="N4" s="16"/>
      <c r="Q4" s="10" t="s">
        <v>138</v>
      </c>
      <c r="R4" s="20" t="s">
        <v>160</v>
      </c>
      <c r="S4" s="20" t="s">
        <v>155</v>
      </c>
      <c r="T4" s="27">
        <v>2.0989799999999999E-3</v>
      </c>
      <c r="U4" s="27">
        <v>6.9424999999999999E-4</v>
      </c>
      <c r="V4" s="27">
        <v>3.0234000000000001</v>
      </c>
      <c r="W4" s="27">
        <v>3.2469999999999999E-3</v>
      </c>
    </row>
    <row r="5" spans="1:23" x14ac:dyDescent="0.25">
      <c r="A5" s="16"/>
      <c r="B5" s="14" t="s">
        <v>138</v>
      </c>
      <c r="C5" s="15">
        <v>0.01</v>
      </c>
      <c r="D5" s="15">
        <v>0.1</v>
      </c>
      <c r="E5" s="15">
        <v>0.01</v>
      </c>
      <c r="F5" s="15">
        <v>0.1</v>
      </c>
      <c r="G5" s="16"/>
      <c r="H5" s="16"/>
      <c r="I5" s="16"/>
      <c r="J5" s="16"/>
      <c r="K5" s="16"/>
      <c r="L5" s="16"/>
      <c r="M5" s="16"/>
      <c r="N5" s="16"/>
      <c r="Q5" s="26"/>
      <c r="R5" s="23" t="s">
        <v>161</v>
      </c>
      <c r="S5" s="23" t="s">
        <v>156</v>
      </c>
      <c r="T5" s="28">
        <v>-0.10683371</v>
      </c>
      <c r="U5" s="28">
        <v>8.1950270000000006E-2</v>
      </c>
      <c r="V5" s="28">
        <v>-1.3036000000000001</v>
      </c>
      <c r="W5" s="28">
        <v>0.19564500000000001</v>
      </c>
    </row>
    <row r="6" spans="1:23" x14ac:dyDescent="0.25">
      <c r="A6" s="16"/>
      <c r="B6" s="14" t="s">
        <v>139</v>
      </c>
      <c r="C6" s="15">
        <v>0.01</v>
      </c>
      <c r="D6" s="15">
        <v>0.1</v>
      </c>
      <c r="E6" s="15">
        <v>0.01</v>
      </c>
      <c r="F6" s="15">
        <v>0.1</v>
      </c>
      <c r="G6" s="16"/>
      <c r="H6" s="7" t="s">
        <v>373</v>
      </c>
      <c r="I6" s="7"/>
      <c r="J6" s="7"/>
      <c r="K6" s="7"/>
      <c r="L6" s="16"/>
      <c r="M6" s="16"/>
      <c r="N6" s="16"/>
      <c r="Q6" s="26"/>
      <c r="R6" s="23" t="s">
        <v>162</v>
      </c>
      <c r="S6" s="23" t="s">
        <v>157</v>
      </c>
      <c r="T6" s="28">
        <v>-0.16468309</v>
      </c>
      <c r="U6" s="28">
        <v>9.066602E-2</v>
      </c>
      <c r="V6" s="28">
        <v>-1.8164</v>
      </c>
      <c r="W6" s="28">
        <v>7.2606000000000004E-2</v>
      </c>
    </row>
    <row r="7" spans="1:23" x14ac:dyDescent="0.25">
      <c r="A7" s="16"/>
      <c r="B7" s="14" t="s">
        <v>140</v>
      </c>
      <c r="C7" s="15">
        <v>0.01</v>
      </c>
      <c r="D7" s="15">
        <v>0.1</v>
      </c>
      <c r="E7" s="15">
        <v>0.01</v>
      </c>
      <c r="F7" s="15">
        <v>6.7220000000000002E-2</v>
      </c>
      <c r="G7" s="16"/>
      <c r="H7" s="14" t="s">
        <v>207</v>
      </c>
      <c r="I7" s="14" t="s">
        <v>208</v>
      </c>
      <c r="J7" s="14" t="s">
        <v>209</v>
      </c>
      <c r="K7" s="14" t="s">
        <v>210</v>
      </c>
      <c r="L7" s="16"/>
      <c r="M7" s="16"/>
      <c r="N7" s="16"/>
      <c r="Q7" s="26"/>
      <c r="R7" s="23" t="s">
        <v>163</v>
      </c>
      <c r="S7" s="23" t="s">
        <v>158</v>
      </c>
      <c r="T7" s="28">
        <v>-0.26189020000000002</v>
      </c>
      <c r="U7" s="28">
        <v>5.6640990000000002E-2</v>
      </c>
      <c r="V7" s="28">
        <v>-4.6237000000000004</v>
      </c>
      <c r="W7" s="28">
        <v>1.241E-5</v>
      </c>
    </row>
    <row r="8" spans="1:23" x14ac:dyDescent="0.25">
      <c r="A8" s="16"/>
      <c r="B8" s="14" t="s">
        <v>141</v>
      </c>
      <c r="C8" s="15">
        <v>1.7100000000000001E-2</v>
      </c>
      <c r="D8" s="15">
        <v>6.4449999999999993E-2</v>
      </c>
      <c r="E8" s="15">
        <v>0.01</v>
      </c>
      <c r="F8" s="15">
        <v>0.1</v>
      </c>
      <c r="G8" s="16"/>
      <c r="H8" s="18" t="s">
        <v>138</v>
      </c>
      <c r="I8" s="19" t="s">
        <v>152</v>
      </c>
      <c r="J8" s="20">
        <v>4.4339999999999997E-2</v>
      </c>
      <c r="K8" s="19">
        <v>0.55169999999999997</v>
      </c>
      <c r="L8" s="16"/>
      <c r="M8" s="16"/>
      <c r="N8" s="16"/>
      <c r="Q8" s="11"/>
      <c r="R8" s="12" t="s">
        <v>164</v>
      </c>
      <c r="S8" s="12" t="s">
        <v>159</v>
      </c>
      <c r="T8" s="29">
        <v>0.19271172</v>
      </c>
      <c r="U8" s="29">
        <v>0.10928498</v>
      </c>
      <c r="V8" s="29">
        <v>1.7634000000000001</v>
      </c>
      <c r="W8" s="29">
        <v>8.1192E-2</v>
      </c>
    </row>
    <row r="9" spans="1:23" x14ac:dyDescent="0.25">
      <c r="A9" s="16"/>
      <c r="B9" s="14" t="s">
        <v>144</v>
      </c>
      <c r="C9" s="15">
        <v>0.01</v>
      </c>
      <c r="D9" s="15">
        <v>8.8099999999999998E-2</v>
      </c>
      <c r="E9" s="15">
        <v>0.01</v>
      </c>
      <c r="F9" s="15">
        <v>0.1</v>
      </c>
      <c r="G9" s="16"/>
      <c r="H9" s="21"/>
      <c r="I9" s="22" t="s">
        <v>153</v>
      </c>
      <c r="J9" s="23">
        <v>1.376E-2</v>
      </c>
      <c r="K9" s="23" t="s">
        <v>211</v>
      </c>
      <c r="L9" s="16"/>
      <c r="M9" s="16"/>
      <c r="N9" s="16"/>
      <c r="Q9" s="10" t="s">
        <v>139</v>
      </c>
      <c r="R9" s="20" t="s">
        <v>160</v>
      </c>
      <c r="S9" s="20" t="s">
        <v>155</v>
      </c>
      <c r="T9" s="27">
        <v>-8.0560000000000005E-6</v>
      </c>
      <c r="U9" s="27">
        <v>6.9721000000000006E-5</v>
      </c>
      <c r="V9" s="27">
        <v>-0.11600000000000001</v>
      </c>
      <c r="W9" s="27">
        <v>0.9083</v>
      </c>
    </row>
    <row r="10" spans="1:23" x14ac:dyDescent="0.25">
      <c r="A10" s="16"/>
      <c r="B10" s="14" t="s">
        <v>145</v>
      </c>
      <c r="C10" s="15">
        <v>1.6959999999999999E-2</v>
      </c>
      <c r="D10" s="15">
        <v>0.1</v>
      </c>
      <c r="E10" s="15">
        <v>1.9130000000000001E-2</v>
      </c>
      <c r="F10" s="15">
        <v>0.1</v>
      </c>
      <c r="G10" s="16"/>
      <c r="H10" s="7"/>
      <c r="I10" s="24" t="s">
        <v>154</v>
      </c>
      <c r="J10" s="12">
        <v>0.90749999999999997</v>
      </c>
      <c r="K10" s="24">
        <v>0.47160000000000002</v>
      </c>
      <c r="L10" s="16"/>
      <c r="M10" s="16"/>
      <c r="N10" s="16"/>
      <c r="Q10" s="26"/>
      <c r="R10" s="23" t="s">
        <v>161</v>
      </c>
      <c r="S10" s="23" t="s">
        <v>156</v>
      </c>
      <c r="T10" s="28">
        <v>-0.12711554</v>
      </c>
      <c r="U10" s="28">
        <v>9.9403850000000002E-2</v>
      </c>
      <c r="V10" s="28">
        <v>-1.2789999999999999</v>
      </c>
      <c r="W10" s="28">
        <v>0.20430000000000001</v>
      </c>
    </row>
    <row r="11" spans="1:23" x14ac:dyDescent="0.25">
      <c r="A11" s="16"/>
      <c r="B11" s="14" t="s">
        <v>146</v>
      </c>
      <c r="C11" s="15">
        <v>0.01</v>
      </c>
      <c r="D11" s="15">
        <v>5.1860000000000003E-2</v>
      </c>
      <c r="E11" s="15">
        <v>0.01</v>
      </c>
      <c r="F11" s="15">
        <v>0.1</v>
      </c>
      <c r="G11" s="16"/>
      <c r="H11" s="18" t="s">
        <v>139</v>
      </c>
      <c r="I11" s="19" t="s">
        <v>152</v>
      </c>
      <c r="J11" s="20">
        <v>2.1850000000000001E-2</v>
      </c>
      <c r="K11" s="19">
        <v>0.1181</v>
      </c>
      <c r="L11" s="16"/>
      <c r="M11" s="16"/>
      <c r="N11" s="16"/>
      <c r="Q11" s="26"/>
      <c r="R11" s="23" t="s">
        <v>162</v>
      </c>
      <c r="S11" s="23" t="s">
        <v>157</v>
      </c>
      <c r="T11" s="28">
        <v>3.1174166999999999E-2</v>
      </c>
      <c r="U11" s="28">
        <v>9.8234548000000005E-2</v>
      </c>
      <c r="V11" s="28">
        <v>0.317</v>
      </c>
      <c r="W11" s="28">
        <v>0.75170000000000003</v>
      </c>
    </row>
    <row r="12" spans="1:23" x14ac:dyDescent="0.25">
      <c r="A12" s="16"/>
      <c r="B12" s="16"/>
      <c r="C12" s="16"/>
      <c r="D12" s="16"/>
      <c r="E12" s="16"/>
      <c r="F12" s="16"/>
      <c r="G12" s="16"/>
      <c r="H12" s="21"/>
      <c r="I12" s="22" t="s">
        <v>153</v>
      </c>
      <c r="J12" s="23">
        <v>0.38419999999999999</v>
      </c>
      <c r="K12" s="22">
        <v>0.88480000000000003</v>
      </c>
      <c r="L12" s="16"/>
      <c r="M12" s="16"/>
      <c r="N12" s="16"/>
      <c r="Q12" s="26"/>
      <c r="R12" s="23" t="s">
        <v>163</v>
      </c>
      <c r="S12" s="23" t="s">
        <v>158</v>
      </c>
      <c r="T12" s="28">
        <v>-0.17300067099999999</v>
      </c>
      <c r="U12" s="28">
        <v>9.7300202000000002E-2</v>
      </c>
      <c r="V12" s="28">
        <v>-1.778</v>
      </c>
      <c r="W12" s="28">
        <v>7.8799999999999995E-2</v>
      </c>
    </row>
    <row r="13" spans="1:23" x14ac:dyDescent="0.25">
      <c r="A13" s="16"/>
      <c r="B13" s="16"/>
      <c r="C13" s="16"/>
      <c r="D13" s="16"/>
      <c r="E13" s="16"/>
      <c r="F13" s="16"/>
      <c r="G13" s="16"/>
      <c r="H13" s="7"/>
      <c r="I13" s="24" t="s">
        <v>154</v>
      </c>
      <c r="J13" s="12">
        <v>0.90449999999999997</v>
      </c>
      <c r="K13" s="24">
        <v>0.9728</v>
      </c>
      <c r="L13" s="16"/>
      <c r="M13" s="16"/>
      <c r="N13" s="16"/>
      <c r="Q13" s="26"/>
      <c r="R13" s="23" t="s">
        <v>164</v>
      </c>
      <c r="S13" s="23" t="s">
        <v>159</v>
      </c>
      <c r="T13" s="28">
        <v>3.7518326999999997E-2</v>
      </c>
      <c r="U13" s="28">
        <v>9.8551972000000002E-2</v>
      </c>
      <c r="V13" s="28">
        <v>0.38100000000000001</v>
      </c>
      <c r="W13" s="28">
        <v>0.70430000000000004</v>
      </c>
    </row>
    <row r="14" spans="1:23" x14ac:dyDescent="0.25">
      <c r="A14" s="16"/>
      <c r="B14" s="8" t="s">
        <v>147</v>
      </c>
      <c r="C14" s="8"/>
      <c r="D14" s="8"/>
      <c r="E14" s="17"/>
      <c r="F14" s="16"/>
      <c r="G14" s="16"/>
      <c r="H14" s="18" t="s">
        <v>140</v>
      </c>
      <c r="I14" s="19" t="s">
        <v>152</v>
      </c>
      <c r="J14" s="20">
        <v>2.5389999999999999E-4</v>
      </c>
      <c r="K14" s="19">
        <v>0.50060000000000004</v>
      </c>
      <c r="L14" s="16"/>
      <c r="M14" s="16"/>
      <c r="N14" s="16"/>
      <c r="Q14" s="11"/>
      <c r="R14" s="12" t="s">
        <v>176</v>
      </c>
      <c r="S14" s="12" t="s">
        <v>177</v>
      </c>
      <c r="T14" s="29">
        <v>-9.7260857000000006E-2</v>
      </c>
      <c r="U14" s="29">
        <v>9.7834945000000006E-2</v>
      </c>
      <c r="V14" s="29">
        <v>-0.99399999999999999</v>
      </c>
      <c r="W14" s="29">
        <v>0.32290000000000002</v>
      </c>
    </row>
    <row r="15" spans="1:23" x14ac:dyDescent="0.25">
      <c r="A15" s="16"/>
      <c r="B15" s="14" t="s">
        <v>207</v>
      </c>
      <c r="C15" s="14" t="s">
        <v>187</v>
      </c>
      <c r="D15" s="14" t="s">
        <v>188</v>
      </c>
      <c r="E15" s="16"/>
      <c r="F15" s="16"/>
      <c r="G15" s="16"/>
      <c r="H15" s="21"/>
      <c r="I15" s="22" t="s">
        <v>153</v>
      </c>
      <c r="J15" s="23">
        <v>0.1532</v>
      </c>
      <c r="K15" s="23" t="s">
        <v>211</v>
      </c>
      <c r="L15" s="16"/>
      <c r="M15" s="16"/>
      <c r="N15" s="16"/>
      <c r="Q15" s="10" t="s">
        <v>140</v>
      </c>
      <c r="R15" s="20" t="s">
        <v>160</v>
      </c>
      <c r="S15" s="20" t="s">
        <v>155</v>
      </c>
      <c r="T15" s="27">
        <v>1.639E-3</v>
      </c>
      <c r="U15" s="27">
        <v>3.166E-3</v>
      </c>
      <c r="V15" s="27">
        <v>0.51800000000000002</v>
      </c>
      <c r="W15" s="27">
        <v>0.60589999999999999</v>
      </c>
    </row>
    <row r="16" spans="1:23" x14ac:dyDescent="0.25">
      <c r="A16" s="16"/>
      <c r="B16" s="14" t="s">
        <v>138</v>
      </c>
      <c r="C16" s="14">
        <v>4</v>
      </c>
      <c r="D16" s="14">
        <v>0</v>
      </c>
      <c r="E16" s="16"/>
      <c r="F16" s="16"/>
      <c r="G16" s="16"/>
      <c r="H16" s="7"/>
      <c r="I16" s="24" t="s">
        <v>154</v>
      </c>
      <c r="J16" s="12">
        <v>0.92500000000000004</v>
      </c>
      <c r="K16" s="24">
        <v>0.68920000000000003</v>
      </c>
      <c r="L16" s="16"/>
      <c r="M16" s="16"/>
      <c r="N16" s="16"/>
      <c r="Q16" s="26"/>
      <c r="R16" s="23" t="s">
        <v>161</v>
      </c>
      <c r="S16" s="23" t="s">
        <v>156</v>
      </c>
      <c r="T16" s="28">
        <v>0.23565700000000001</v>
      </c>
      <c r="U16" s="28">
        <v>0.10006900000000001</v>
      </c>
      <c r="V16" s="28">
        <v>2.355</v>
      </c>
      <c r="W16" s="28">
        <v>2.06E-2</v>
      </c>
    </row>
    <row r="17" spans="1:23" x14ac:dyDescent="0.25">
      <c r="A17" s="16"/>
      <c r="B17" s="14" t="s">
        <v>139</v>
      </c>
      <c r="C17" s="14">
        <v>5</v>
      </c>
      <c r="D17" s="14">
        <v>4</v>
      </c>
      <c r="E17" s="16"/>
      <c r="F17" s="16"/>
      <c r="G17" s="16"/>
      <c r="H17" s="18" t="s">
        <v>141</v>
      </c>
      <c r="I17" s="19" t="s">
        <v>152</v>
      </c>
      <c r="J17" s="20">
        <v>7.0240000000000005E-4</v>
      </c>
      <c r="K17" s="19">
        <v>0.2319</v>
      </c>
      <c r="L17" s="16"/>
      <c r="M17" s="16"/>
      <c r="N17" s="16"/>
      <c r="Q17" s="11"/>
      <c r="R17" s="12" t="s">
        <v>162</v>
      </c>
      <c r="S17" s="12" t="s">
        <v>157</v>
      </c>
      <c r="T17" s="29">
        <v>-0.22451299999999999</v>
      </c>
      <c r="U17" s="29">
        <v>0.10140100000000001</v>
      </c>
      <c r="V17" s="29">
        <v>-2.214</v>
      </c>
      <c r="W17" s="29">
        <v>2.92E-2</v>
      </c>
    </row>
    <row r="18" spans="1:23" x14ac:dyDescent="0.25">
      <c r="A18" s="16"/>
      <c r="B18" s="14" t="s">
        <v>140</v>
      </c>
      <c r="C18" s="14">
        <v>2</v>
      </c>
      <c r="D18" s="14">
        <v>0</v>
      </c>
      <c r="E18" s="16"/>
      <c r="F18" s="16"/>
      <c r="G18" s="16"/>
      <c r="H18" s="21"/>
      <c r="I18" s="22" t="s">
        <v>153</v>
      </c>
      <c r="J18" s="23" t="s">
        <v>211</v>
      </c>
      <c r="K18" s="23" t="s">
        <v>211</v>
      </c>
      <c r="L18" s="16"/>
      <c r="M18" s="16"/>
      <c r="N18" s="16"/>
      <c r="Q18" s="13" t="s">
        <v>141</v>
      </c>
      <c r="R18" s="13" t="s">
        <v>160</v>
      </c>
      <c r="S18" s="13" t="s">
        <v>155</v>
      </c>
      <c r="T18" s="30">
        <v>4.3639999999999998E-3</v>
      </c>
      <c r="U18" s="30">
        <v>3.954E-3</v>
      </c>
      <c r="V18" s="30">
        <v>1.1040000000000001</v>
      </c>
      <c r="W18" s="30">
        <v>0.27200000000000002</v>
      </c>
    </row>
    <row r="19" spans="1:23" x14ac:dyDescent="0.25">
      <c r="A19" s="16"/>
      <c r="B19" s="14" t="s">
        <v>141</v>
      </c>
      <c r="C19" s="14">
        <v>0</v>
      </c>
      <c r="D19" s="14">
        <v>0</v>
      </c>
      <c r="E19" s="16"/>
      <c r="F19" s="16"/>
      <c r="G19" s="16"/>
      <c r="H19" s="7"/>
      <c r="I19" s="24" t="s">
        <v>154</v>
      </c>
      <c r="J19" s="12">
        <v>0.71750000000000003</v>
      </c>
      <c r="K19" s="24">
        <v>0.6855</v>
      </c>
      <c r="L19" s="16"/>
      <c r="M19" s="16"/>
      <c r="N19" s="16"/>
      <c r="Q19" s="10" t="s">
        <v>144</v>
      </c>
      <c r="R19" s="20" t="s">
        <v>160</v>
      </c>
      <c r="S19" s="20" t="s">
        <v>155</v>
      </c>
      <c r="T19" s="27">
        <v>7.6389999999999997E-4</v>
      </c>
      <c r="U19" s="27">
        <v>6.3809999999999995E-4</v>
      </c>
      <c r="V19" s="27">
        <v>1.1970000000000001</v>
      </c>
      <c r="W19" s="27">
        <v>0.23430000000000001</v>
      </c>
    </row>
    <row r="20" spans="1:23" x14ac:dyDescent="0.25">
      <c r="A20" s="16"/>
      <c r="B20" s="14" t="s">
        <v>144</v>
      </c>
      <c r="C20" s="14">
        <v>4</v>
      </c>
      <c r="D20" s="14">
        <v>4</v>
      </c>
      <c r="E20" s="16"/>
      <c r="F20" s="16"/>
      <c r="G20" s="16"/>
      <c r="H20" s="18" t="s">
        <v>144</v>
      </c>
      <c r="I20" s="19" t="s">
        <v>152</v>
      </c>
      <c r="J20" s="20">
        <v>5.62E-3</v>
      </c>
      <c r="K20" s="19">
        <v>0.96209999999999996</v>
      </c>
      <c r="L20" s="16"/>
      <c r="M20" s="16"/>
      <c r="N20" s="16"/>
      <c r="Q20" s="26"/>
      <c r="R20" s="23" t="s">
        <v>161</v>
      </c>
      <c r="S20" s="23" t="s">
        <v>156</v>
      </c>
      <c r="T20" s="28">
        <v>7.5117000000000003E-2</v>
      </c>
      <c r="U20" s="28">
        <v>0.1026261</v>
      </c>
      <c r="V20" s="28">
        <v>0.73199999999999998</v>
      </c>
      <c r="W20" s="28">
        <v>0.46610000000000001</v>
      </c>
    </row>
    <row r="21" spans="1:23" x14ac:dyDescent="0.25">
      <c r="A21" s="16"/>
      <c r="B21" s="14" t="s">
        <v>145</v>
      </c>
      <c r="C21" s="14">
        <v>2</v>
      </c>
      <c r="D21" s="14">
        <v>4</v>
      </c>
      <c r="E21" s="16"/>
      <c r="F21" s="16"/>
      <c r="G21" s="16"/>
      <c r="H21" s="21"/>
      <c r="I21" s="22" t="s">
        <v>153</v>
      </c>
      <c r="J21" s="23">
        <v>0.71609999999999996</v>
      </c>
      <c r="K21" s="22">
        <v>0.81440000000000001</v>
      </c>
      <c r="L21" s="16"/>
      <c r="M21" s="16"/>
      <c r="N21" s="16"/>
      <c r="Q21" s="26"/>
      <c r="R21" s="23" t="s">
        <v>162</v>
      </c>
      <c r="S21" s="23" t="s">
        <v>157</v>
      </c>
      <c r="T21" s="28">
        <v>4.5629599999999999E-2</v>
      </c>
      <c r="U21" s="28">
        <v>0.100526</v>
      </c>
      <c r="V21" s="28">
        <v>0.45400000000000001</v>
      </c>
      <c r="W21" s="28">
        <v>0.65100000000000002</v>
      </c>
    </row>
    <row r="22" spans="1:23" x14ac:dyDescent="0.25">
      <c r="A22" s="16"/>
      <c r="B22" s="14" t="s">
        <v>146</v>
      </c>
      <c r="C22" s="14">
        <v>1</v>
      </c>
      <c r="D22" s="14">
        <v>0</v>
      </c>
      <c r="E22" s="16"/>
      <c r="F22" s="16"/>
      <c r="G22" s="16"/>
      <c r="H22" s="7"/>
      <c r="I22" s="24" t="s">
        <v>154</v>
      </c>
      <c r="J22" s="12">
        <v>0.99550000000000005</v>
      </c>
      <c r="K22" s="24">
        <v>0.99509999999999998</v>
      </c>
      <c r="L22" s="16"/>
      <c r="M22" s="16"/>
      <c r="N22" s="16"/>
      <c r="Q22" s="26"/>
      <c r="R22" s="23" t="s">
        <v>163</v>
      </c>
      <c r="S22" s="23" t="s">
        <v>158</v>
      </c>
      <c r="T22" s="28">
        <v>-0.19009970000000001</v>
      </c>
      <c r="U22" s="28">
        <v>9.7770999999999997E-2</v>
      </c>
      <c r="V22" s="28">
        <v>-1.944</v>
      </c>
      <c r="W22" s="28">
        <v>5.4899999999999997E-2</v>
      </c>
    </row>
    <row r="23" spans="1:23" x14ac:dyDescent="0.25">
      <c r="A23" s="16"/>
      <c r="B23" s="16"/>
      <c r="C23" s="16"/>
      <c r="D23" s="16"/>
      <c r="E23" s="16"/>
      <c r="F23" s="16"/>
      <c r="G23" s="16"/>
      <c r="H23" s="18" t="s">
        <v>145</v>
      </c>
      <c r="I23" s="19" t="s">
        <v>152</v>
      </c>
      <c r="J23" s="20">
        <v>4.2760000000000003E-3</v>
      </c>
      <c r="K23" s="19">
        <v>0.73860000000000003</v>
      </c>
      <c r="L23" s="16"/>
      <c r="M23" s="16"/>
      <c r="N23" s="16"/>
      <c r="Q23" s="11"/>
      <c r="R23" s="12" t="s">
        <v>164</v>
      </c>
      <c r="S23" s="12" t="s">
        <v>159</v>
      </c>
      <c r="T23" s="29">
        <v>9.3697299999999997E-2</v>
      </c>
      <c r="U23" s="29">
        <v>9.9820099999999995E-2</v>
      </c>
      <c r="V23" s="29">
        <v>0.93899999999999995</v>
      </c>
      <c r="W23" s="29">
        <v>0.35039999999999999</v>
      </c>
    </row>
    <row r="24" spans="1:23" x14ac:dyDescent="0.25">
      <c r="A24" s="16"/>
      <c r="B24" s="16"/>
      <c r="C24" s="16"/>
      <c r="D24" s="16"/>
      <c r="E24" s="16"/>
      <c r="F24" s="16"/>
      <c r="G24" s="16"/>
      <c r="H24" s="21"/>
      <c r="I24" s="22" t="s">
        <v>153</v>
      </c>
      <c r="J24" s="23">
        <v>0.55400000000000005</v>
      </c>
      <c r="K24" s="22">
        <v>0.24859999999999999</v>
      </c>
      <c r="L24" s="16"/>
      <c r="M24" s="16"/>
      <c r="N24" s="16"/>
      <c r="Q24" s="10" t="s">
        <v>145</v>
      </c>
      <c r="R24" s="20" t="s">
        <v>160</v>
      </c>
      <c r="S24" s="20" t="s">
        <v>155</v>
      </c>
      <c r="T24" s="27">
        <v>8.2879999999999998E-4</v>
      </c>
      <c r="U24" s="27">
        <v>1.1159E-3</v>
      </c>
      <c r="V24" s="27">
        <v>0.74299999999999999</v>
      </c>
      <c r="W24" s="27">
        <v>0.45900000000000002</v>
      </c>
    </row>
    <row r="25" spans="1:23" x14ac:dyDescent="0.25">
      <c r="A25" s="16"/>
      <c r="B25" s="16"/>
      <c r="C25" s="16"/>
      <c r="D25" s="16"/>
      <c r="E25" s="16"/>
      <c r="F25" s="16"/>
      <c r="G25" s="16"/>
      <c r="H25" s="7"/>
      <c r="I25" s="24" t="s">
        <v>154</v>
      </c>
      <c r="J25" s="12">
        <v>0.72719999999999996</v>
      </c>
      <c r="K25" s="24">
        <v>0.96440000000000003</v>
      </c>
      <c r="L25" s="16"/>
      <c r="M25" s="16"/>
      <c r="N25" s="16"/>
      <c r="Q25" s="26"/>
      <c r="R25" s="23" t="s">
        <v>161</v>
      </c>
      <c r="S25" s="23" t="s">
        <v>156</v>
      </c>
      <c r="T25" s="28">
        <v>-5.0050299999999999E-2</v>
      </c>
      <c r="U25" s="28">
        <v>9.7652000000000003E-2</v>
      </c>
      <c r="V25" s="28">
        <v>-0.51300000000000001</v>
      </c>
      <c r="W25" s="28">
        <v>0.60899999999999999</v>
      </c>
    </row>
    <row r="26" spans="1:23" x14ac:dyDescent="0.25">
      <c r="A26" s="16"/>
      <c r="B26" s="16"/>
      <c r="C26" s="16"/>
      <c r="D26" s="16"/>
      <c r="E26" s="16"/>
      <c r="F26" s="16"/>
      <c r="G26" s="16"/>
      <c r="H26" s="18" t="s">
        <v>146</v>
      </c>
      <c r="I26" s="19" t="s">
        <v>152</v>
      </c>
      <c r="J26" s="20">
        <v>0.98409999999999997</v>
      </c>
      <c r="K26" s="19">
        <v>0.89590000000000003</v>
      </c>
      <c r="L26" s="16"/>
      <c r="M26" s="16"/>
      <c r="N26" s="16"/>
      <c r="Q26" s="11"/>
      <c r="R26" s="12" t="s">
        <v>162</v>
      </c>
      <c r="S26" s="12" t="s">
        <v>157</v>
      </c>
      <c r="T26" s="29">
        <v>-0.1004116</v>
      </c>
      <c r="U26" s="29">
        <v>9.7431400000000001E-2</v>
      </c>
      <c r="V26" s="29">
        <v>-1.0309999999999999</v>
      </c>
      <c r="W26" s="29">
        <v>0.30499999999999999</v>
      </c>
    </row>
    <row r="27" spans="1:23" x14ac:dyDescent="0.25">
      <c r="A27" s="16"/>
      <c r="B27" s="16"/>
      <c r="C27" s="16"/>
      <c r="D27" s="16"/>
      <c r="E27" s="16"/>
      <c r="F27" s="16"/>
      <c r="G27" s="16"/>
      <c r="H27" s="21"/>
      <c r="I27" s="22" t="s">
        <v>153</v>
      </c>
      <c r="J27" s="23">
        <v>2.2039999999999998E-3</v>
      </c>
      <c r="K27" s="23" t="s">
        <v>211</v>
      </c>
      <c r="L27" s="16"/>
      <c r="M27" s="16"/>
      <c r="N27" s="16"/>
      <c r="Q27" s="10" t="s">
        <v>146</v>
      </c>
      <c r="R27" s="20" t="s">
        <v>160</v>
      </c>
      <c r="S27" s="20" t="s">
        <v>155</v>
      </c>
      <c r="T27" s="27">
        <v>6.5648999999999994E-5</v>
      </c>
      <c r="U27" s="27">
        <v>2.26004E-4</v>
      </c>
      <c r="V27" s="27">
        <v>0.29049999999999998</v>
      </c>
      <c r="W27" s="27">
        <v>0.77207000000000003</v>
      </c>
    </row>
    <row r="28" spans="1:23" x14ac:dyDescent="0.25">
      <c r="A28" s="16"/>
      <c r="B28" s="16"/>
      <c r="C28" s="16"/>
      <c r="D28" s="16"/>
      <c r="E28" s="16"/>
      <c r="F28" s="16"/>
      <c r="G28" s="16"/>
      <c r="H28" s="7"/>
      <c r="I28" s="24" t="s">
        <v>154</v>
      </c>
      <c r="J28" s="12">
        <v>0.89849999999999997</v>
      </c>
      <c r="K28" s="24">
        <v>0.64300000000000002</v>
      </c>
      <c r="L28" s="16"/>
      <c r="M28" s="16"/>
      <c r="N28" s="16"/>
      <c r="Q28" s="11"/>
      <c r="R28" s="12" t="s">
        <v>161</v>
      </c>
      <c r="S28" s="12" t="s">
        <v>156</v>
      </c>
      <c r="T28" s="29">
        <v>0.190816981</v>
      </c>
      <c r="U28" s="29">
        <v>7.5015231000000002E-2</v>
      </c>
      <c r="V28" s="29">
        <v>2.5436999999999999</v>
      </c>
      <c r="W28" s="29">
        <v>1.255E-2</v>
      </c>
    </row>
    <row r="29" spans="1:23" x14ac:dyDescent="0.25">
      <c r="A29" s="16"/>
      <c r="B29" s="16"/>
      <c r="C29" s="16"/>
      <c r="D29" s="16"/>
      <c r="E29" s="16"/>
      <c r="F29" s="16"/>
      <c r="G29" s="6" t="s">
        <v>374</v>
      </c>
      <c r="I29" s="16"/>
      <c r="J29" s="16"/>
      <c r="K29" s="16"/>
      <c r="L29" s="16"/>
      <c r="M29" s="16"/>
      <c r="N29" s="16"/>
      <c r="Q29" s="25" t="s">
        <v>206</v>
      </c>
      <c r="R29" s="25"/>
      <c r="S29" s="25"/>
      <c r="T29" s="25"/>
      <c r="U29" s="25"/>
      <c r="V29" s="25"/>
      <c r="W29" s="25"/>
    </row>
    <row r="30" spans="1:23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Q30" s="13" t="s">
        <v>207</v>
      </c>
      <c r="R30" s="13" t="s">
        <v>376</v>
      </c>
      <c r="S30" s="13" t="s">
        <v>375</v>
      </c>
      <c r="T30" s="13" t="s">
        <v>165</v>
      </c>
      <c r="U30" s="13" t="s">
        <v>167</v>
      </c>
      <c r="V30" s="13" t="s">
        <v>168</v>
      </c>
      <c r="W30" s="13" t="s">
        <v>166</v>
      </c>
    </row>
    <row r="31" spans="1:23" x14ac:dyDescent="0.25">
      <c r="Q31" s="13" t="s">
        <v>138</v>
      </c>
      <c r="R31" s="13" t="s">
        <v>160</v>
      </c>
      <c r="S31" s="13" t="s">
        <v>155</v>
      </c>
      <c r="T31" s="30">
        <v>2.8909999999999998E-4</v>
      </c>
      <c r="U31" s="30">
        <v>9.6429999999999997E-4</v>
      </c>
      <c r="V31" s="30">
        <v>0.3</v>
      </c>
      <c r="W31" s="30">
        <v>0.76500000000000001</v>
      </c>
    </row>
    <row r="32" spans="1:23" x14ac:dyDescent="0.25">
      <c r="Q32" s="10" t="s">
        <v>139</v>
      </c>
      <c r="R32" s="20" t="s">
        <v>160</v>
      </c>
      <c r="S32" s="20" t="s">
        <v>155</v>
      </c>
      <c r="T32" s="27">
        <v>-2.5915999999999998E-4</v>
      </c>
      <c r="U32" s="27">
        <v>7.2070000000000006E-5</v>
      </c>
      <c r="V32" s="27">
        <v>-3.5960000000000001</v>
      </c>
      <c r="W32" s="27">
        <v>5.2499999999999997E-4</v>
      </c>
    </row>
    <row r="33" spans="17:23" x14ac:dyDescent="0.25">
      <c r="Q33" s="26"/>
      <c r="R33" s="23" t="s">
        <v>161</v>
      </c>
      <c r="S33" s="23" t="s">
        <v>156</v>
      </c>
      <c r="T33" s="28">
        <v>-9.0122740000000007E-2</v>
      </c>
      <c r="U33" s="28">
        <v>9.8074079999999994E-2</v>
      </c>
      <c r="V33" s="28">
        <v>-0.91900000000000004</v>
      </c>
      <c r="W33" s="28">
        <v>0.360564</v>
      </c>
    </row>
    <row r="34" spans="17:23" x14ac:dyDescent="0.25">
      <c r="Q34" s="26"/>
      <c r="R34" s="23" t="s">
        <v>162</v>
      </c>
      <c r="S34" s="23" t="s">
        <v>157</v>
      </c>
      <c r="T34" s="28">
        <v>-0.14122861</v>
      </c>
      <c r="U34" s="28">
        <v>9.8114960000000001E-2</v>
      </c>
      <c r="V34" s="28">
        <v>-1.4390000000000001</v>
      </c>
      <c r="W34" s="28">
        <v>0.15346299999999999</v>
      </c>
    </row>
    <row r="35" spans="17:23" x14ac:dyDescent="0.25">
      <c r="Q35" s="26"/>
      <c r="R35" s="23" t="s">
        <v>163</v>
      </c>
      <c r="S35" s="23" t="s">
        <v>158</v>
      </c>
      <c r="T35" s="28">
        <v>-7.4045059999999996E-2</v>
      </c>
      <c r="U35" s="28">
        <v>9.8078520000000002E-2</v>
      </c>
      <c r="V35" s="28">
        <v>-0.755</v>
      </c>
      <c r="W35" s="28">
        <v>0.45222400000000001</v>
      </c>
    </row>
    <row r="36" spans="17:23" x14ac:dyDescent="0.25">
      <c r="Q36" s="11"/>
      <c r="R36" s="12" t="s">
        <v>164</v>
      </c>
      <c r="S36" s="12" t="s">
        <v>159</v>
      </c>
      <c r="T36" s="29">
        <v>-0.35896549</v>
      </c>
      <c r="U36" s="29">
        <v>9.8107059999999996E-2</v>
      </c>
      <c r="V36" s="29">
        <v>-3.6589999999999998</v>
      </c>
      <c r="W36" s="29">
        <v>4.2400000000000001E-4</v>
      </c>
    </row>
    <row r="37" spans="17:23" x14ac:dyDescent="0.25">
      <c r="Q37" s="13" t="s">
        <v>140</v>
      </c>
      <c r="R37" s="13" t="s">
        <v>160</v>
      </c>
      <c r="S37" s="13" t="s">
        <v>155</v>
      </c>
      <c r="T37" s="30">
        <v>-1.944E-3</v>
      </c>
      <c r="U37" s="30">
        <v>3.8080000000000002E-3</v>
      </c>
      <c r="V37" s="30">
        <v>-0.51100000000000001</v>
      </c>
      <c r="W37" s="30">
        <v>0.61099999999999999</v>
      </c>
    </row>
    <row r="38" spans="17:23" x14ac:dyDescent="0.25">
      <c r="Q38" s="13" t="s">
        <v>141</v>
      </c>
      <c r="R38" s="13" t="s">
        <v>160</v>
      </c>
      <c r="S38" s="13" t="s">
        <v>155</v>
      </c>
      <c r="T38" s="30">
        <v>-1.799E-3</v>
      </c>
      <c r="U38" s="30">
        <v>4.8040000000000001E-3</v>
      </c>
      <c r="V38" s="30">
        <v>-0.374</v>
      </c>
      <c r="W38" s="30">
        <v>0.70899999999999996</v>
      </c>
    </row>
    <row r="39" spans="17:23" x14ac:dyDescent="0.25">
      <c r="Q39" s="10" t="s">
        <v>144</v>
      </c>
      <c r="R39" s="20" t="s">
        <v>160</v>
      </c>
      <c r="S39" s="20" t="s">
        <v>155</v>
      </c>
      <c r="T39" s="27">
        <v>2.9690000000000001E-4</v>
      </c>
      <c r="U39" s="27">
        <v>7.4949999999999995E-4</v>
      </c>
      <c r="V39" s="27">
        <v>0.39600000000000002</v>
      </c>
      <c r="W39" s="27">
        <v>0.69299999999999995</v>
      </c>
    </row>
    <row r="40" spans="17:23" x14ac:dyDescent="0.25">
      <c r="Q40" s="26"/>
      <c r="R40" s="23" t="s">
        <v>161</v>
      </c>
      <c r="S40" s="23" t="s">
        <v>156</v>
      </c>
      <c r="T40" s="28">
        <v>7.9902000000000001E-2</v>
      </c>
      <c r="U40" s="28">
        <v>0.10071099999999999</v>
      </c>
      <c r="V40" s="28">
        <v>0.79300000000000004</v>
      </c>
      <c r="W40" s="28">
        <v>0.42959999999999998</v>
      </c>
    </row>
    <row r="41" spans="17:23" x14ac:dyDescent="0.25">
      <c r="Q41" s="26"/>
      <c r="R41" s="23" t="s">
        <v>162</v>
      </c>
      <c r="S41" s="23" t="s">
        <v>157</v>
      </c>
      <c r="T41" s="28">
        <v>-0.19353390000000001</v>
      </c>
      <c r="U41" s="28">
        <v>0.1008888</v>
      </c>
      <c r="V41" s="28">
        <v>-1.9179999999999999</v>
      </c>
      <c r="W41" s="28">
        <v>5.8200000000000002E-2</v>
      </c>
    </row>
    <row r="42" spans="17:23" x14ac:dyDescent="0.25">
      <c r="Q42" s="26"/>
      <c r="R42" s="23" t="s">
        <v>163</v>
      </c>
      <c r="S42" s="23" t="s">
        <v>158</v>
      </c>
      <c r="T42" s="28">
        <v>3.1158000000000002E-3</v>
      </c>
      <c r="U42" s="28">
        <v>0.100579</v>
      </c>
      <c r="V42" s="28">
        <v>3.1E-2</v>
      </c>
      <c r="W42" s="28">
        <v>0.97540000000000004</v>
      </c>
    </row>
    <row r="43" spans="17:23" x14ac:dyDescent="0.25">
      <c r="Q43" s="11"/>
      <c r="R43" s="12" t="s">
        <v>164</v>
      </c>
      <c r="S43" s="12" t="s">
        <v>159</v>
      </c>
      <c r="T43" s="29">
        <v>2.8930000000000001E-2</v>
      </c>
      <c r="U43" s="29">
        <v>0.1001358</v>
      </c>
      <c r="V43" s="29">
        <v>0.28899999999999998</v>
      </c>
      <c r="W43" s="29">
        <v>0.77329999999999999</v>
      </c>
    </row>
    <row r="44" spans="17:23" x14ac:dyDescent="0.25">
      <c r="Q44" s="10" t="s">
        <v>145</v>
      </c>
      <c r="R44" s="20" t="s">
        <v>160</v>
      </c>
      <c r="S44" s="20" t="s">
        <v>155</v>
      </c>
      <c r="T44" s="27">
        <v>-2.8330000000000002E-5</v>
      </c>
      <c r="U44" s="27">
        <v>1.3337900000000001E-3</v>
      </c>
      <c r="V44" s="27">
        <v>-2.1000000000000001E-2</v>
      </c>
      <c r="W44" s="27">
        <v>0.98309999999999997</v>
      </c>
    </row>
    <row r="45" spans="17:23" x14ac:dyDescent="0.25">
      <c r="Q45" s="26"/>
      <c r="R45" s="23" t="s">
        <v>161</v>
      </c>
      <c r="S45" s="23" t="s">
        <v>156</v>
      </c>
      <c r="T45" s="28">
        <v>0.31150899999999998</v>
      </c>
      <c r="U45" s="28">
        <v>0.10047062</v>
      </c>
      <c r="V45" s="28">
        <v>3.1</v>
      </c>
      <c r="W45" s="28">
        <v>2.5699999999999998E-3</v>
      </c>
    </row>
    <row r="46" spans="17:23" x14ac:dyDescent="0.25">
      <c r="Q46" s="26"/>
      <c r="R46" s="23" t="s">
        <v>162</v>
      </c>
      <c r="S46" s="23" t="s">
        <v>157</v>
      </c>
      <c r="T46" s="28">
        <v>-0.26842009999999999</v>
      </c>
      <c r="U46" s="28">
        <v>0.10267685999999999</v>
      </c>
      <c r="V46" s="28">
        <v>-2.6139999999999999</v>
      </c>
      <c r="W46" s="28">
        <v>1.047E-2</v>
      </c>
    </row>
    <row r="47" spans="17:23" x14ac:dyDescent="0.25">
      <c r="Q47" s="26"/>
      <c r="R47" s="23" t="s">
        <v>163</v>
      </c>
      <c r="S47" s="23" t="s">
        <v>158</v>
      </c>
      <c r="T47" s="28">
        <v>0.23635995000000001</v>
      </c>
      <c r="U47" s="28">
        <v>0.10275608999999999</v>
      </c>
      <c r="V47" s="28">
        <v>2.2999999999999998</v>
      </c>
      <c r="W47" s="28">
        <v>2.3720000000000001E-2</v>
      </c>
    </row>
    <row r="48" spans="17:23" x14ac:dyDescent="0.25">
      <c r="Q48" s="11"/>
      <c r="R48" s="12" t="s">
        <v>164</v>
      </c>
      <c r="S48" s="12" t="s">
        <v>159</v>
      </c>
      <c r="T48" s="29">
        <v>-5.3984509999999999E-2</v>
      </c>
      <c r="U48" s="29">
        <v>0.10104539999999999</v>
      </c>
      <c r="V48" s="29">
        <v>-0.53400000000000003</v>
      </c>
      <c r="W48" s="29">
        <v>0.59445999999999999</v>
      </c>
    </row>
    <row r="49" spans="17:23" x14ac:dyDescent="0.25">
      <c r="Q49" s="13" t="s">
        <v>146</v>
      </c>
      <c r="R49" s="13" t="s">
        <v>160</v>
      </c>
      <c r="S49" s="13" t="s">
        <v>155</v>
      </c>
      <c r="T49" s="30">
        <v>3.5589999999999998E-4</v>
      </c>
      <c r="U49" s="30">
        <v>3.5349999999999997E-4</v>
      </c>
      <c r="V49" s="30">
        <v>1.0069999999999999</v>
      </c>
      <c r="W49" s="30">
        <v>0.316</v>
      </c>
    </row>
  </sheetData>
  <mergeCells count="24">
    <mergeCell ref="B14:D14"/>
    <mergeCell ref="B3:B4"/>
    <mergeCell ref="B2:F2"/>
    <mergeCell ref="H6:K6"/>
    <mergeCell ref="Q39:Q43"/>
    <mergeCell ref="Q2:W2"/>
    <mergeCell ref="Q19:Q23"/>
    <mergeCell ref="Q24:Q26"/>
    <mergeCell ref="Q4:Q8"/>
    <mergeCell ref="Q9:Q14"/>
    <mergeCell ref="Q27:Q28"/>
    <mergeCell ref="Q15:Q17"/>
    <mergeCell ref="Q29:W29"/>
    <mergeCell ref="Q32:Q36"/>
    <mergeCell ref="C3:D3"/>
    <mergeCell ref="E3:F3"/>
    <mergeCell ref="H20:H22"/>
    <mergeCell ref="H23:H25"/>
    <mergeCell ref="H26:H28"/>
    <mergeCell ref="H17:H19"/>
    <mergeCell ref="H8:H10"/>
    <mergeCell ref="H11:H13"/>
    <mergeCell ref="H14:H16"/>
    <mergeCell ref="Q44:Q48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D5703-035C-4A27-A6E1-28FEA0718918}">
  <dimension ref="A1:L49"/>
  <sheetViews>
    <sheetView workbookViewId="0">
      <selection sqref="A1:L1"/>
    </sheetView>
  </sheetViews>
  <sheetFormatPr defaultRowHeight="15" x14ac:dyDescent="0.25"/>
  <cols>
    <col min="1" max="1" width="9.5703125" bestFit="1" customWidth="1"/>
    <col min="2" max="2" width="13.85546875" bestFit="1" customWidth="1"/>
    <col min="5" max="5" width="14.5703125" bestFit="1" customWidth="1"/>
    <col min="6" max="7" width="12" bestFit="1" customWidth="1"/>
  </cols>
  <sheetData>
    <row r="1" spans="1:12" x14ac:dyDescent="0.25">
      <c r="A1" s="5" t="s">
        <v>137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B2" t="s">
        <v>194</v>
      </c>
      <c r="C2" t="s">
        <v>195</v>
      </c>
      <c r="F2" t="s">
        <v>138</v>
      </c>
      <c r="G2" t="s">
        <v>139</v>
      </c>
      <c r="H2" t="s">
        <v>140</v>
      </c>
      <c r="I2" t="s">
        <v>141</v>
      </c>
      <c r="J2" t="s">
        <v>144</v>
      </c>
      <c r="K2" t="s">
        <v>145</v>
      </c>
      <c r="L2" t="s">
        <v>146</v>
      </c>
    </row>
    <row r="3" spans="1:12" x14ac:dyDescent="0.25">
      <c r="A3" s="4" t="s">
        <v>137</v>
      </c>
      <c r="B3" t="s">
        <v>133</v>
      </c>
      <c r="C3">
        <v>100</v>
      </c>
      <c r="E3" t="s">
        <v>198</v>
      </c>
      <c r="F3">
        <f>_xlfn.STDEV.S('EV1-ER-AR'!I6:I101)</f>
        <v>5.3477588704924821E-3</v>
      </c>
      <c r="G3">
        <f>_xlfn.STDEV.S('EV1-ER-AR'!T7:T101)</f>
        <v>6.6060254817392036E-4</v>
      </c>
      <c r="H3">
        <f>_xlfn.STDEV.S('EV1-ER-AR'!AB4:AB101)</f>
        <v>3.0918166220010753E-2</v>
      </c>
      <c r="I3">
        <f>_xlfn.STDEV.S('EV1-ER-AR'!AH2:AH101)</f>
        <v>3.9541695520815712E-2</v>
      </c>
      <c r="J3">
        <f>_xlfn.STDEV.S('EV1-ER-AR'!AR6:AR101)</f>
        <v>5.9470532926349899E-3</v>
      </c>
      <c r="K3">
        <f>_xlfn.STDEV.S('EV1-ER-AR'!AZ4:AZ101)</f>
        <v>1.0920713421978831E-2</v>
      </c>
      <c r="L3">
        <f>_xlfn.STDEV.S('EV1-ER-AR'!BG3:BG101)</f>
        <v>2.2298479856845427E-3</v>
      </c>
    </row>
    <row r="4" spans="1:12" x14ac:dyDescent="0.25">
      <c r="A4" s="4"/>
      <c r="B4" t="s">
        <v>130</v>
      </c>
      <c r="C4">
        <v>10</v>
      </c>
    </row>
    <row r="5" spans="1:12" x14ac:dyDescent="0.25">
      <c r="A5" s="4"/>
      <c r="B5" t="s">
        <v>131</v>
      </c>
      <c r="C5">
        <v>4</v>
      </c>
      <c r="E5" t="s">
        <v>199</v>
      </c>
    </row>
    <row r="6" spans="1:12" x14ac:dyDescent="0.25">
      <c r="A6" s="4"/>
      <c r="B6" t="s">
        <v>132</v>
      </c>
      <c r="C6">
        <v>10</v>
      </c>
      <c r="E6" t="s">
        <v>200</v>
      </c>
      <c r="F6">
        <f>F3*SQRT($C$4)</f>
        <v>1.6911098408125661E-2</v>
      </c>
      <c r="G6">
        <f>G3*SQRT($C$4)</f>
        <v>2.0890086803406942E-3</v>
      </c>
      <c r="H6">
        <f t="shared" ref="H6:L6" si="0">H3*SQRT($C$4)</f>
        <v>9.7771826330912637E-2</v>
      </c>
      <c r="I6">
        <f t="shared" si="0"/>
        <v>0.12504182039065559</v>
      </c>
      <c r="J6">
        <f t="shared" si="0"/>
        <v>1.8806233771130432E-2</v>
      </c>
      <c r="K6">
        <f t="shared" si="0"/>
        <v>3.4534328087424633E-2</v>
      </c>
      <c r="L6">
        <f t="shared" si="0"/>
        <v>7.0513984707016898E-3</v>
      </c>
    </row>
    <row r="7" spans="1:12" x14ac:dyDescent="0.25">
      <c r="E7" t="s">
        <v>201</v>
      </c>
      <c r="F7">
        <f>F3*SQRT($C$5)</f>
        <v>1.0695517740984964E-2</v>
      </c>
      <c r="G7">
        <f t="shared" ref="G7:L7" si="1">G3*SQRT($C$5)</f>
        <v>1.3212050963478407E-3</v>
      </c>
      <c r="H7">
        <f t="shared" si="1"/>
        <v>6.1836332440021506E-2</v>
      </c>
      <c r="I7">
        <f t="shared" si="1"/>
        <v>7.9083391041631423E-2</v>
      </c>
      <c r="J7">
        <f t="shared" si="1"/>
        <v>1.189410658526998E-2</v>
      </c>
      <c r="K7">
        <f t="shared" si="1"/>
        <v>2.1841426843957661E-2</v>
      </c>
      <c r="L7">
        <f t="shared" si="1"/>
        <v>4.4596959713690855E-3</v>
      </c>
    </row>
    <row r="8" spans="1:12" x14ac:dyDescent="0.25">
      <c r="B8" s="1" t="s">
        <v>197</v>
      </c>
      <c r="C8" t="s">
        <v>196</v>
      </c>
      <c r="E8" t="s">
        <v>202</v>
      </c>
      <c r="F8">
        <f>F3*SQRT($C$6)</f>
        <v>1.6911098408125661E-2</v>
      </c>
      <c r="G8">
        <f t="shared" ref="G8:L8" si="2">G3*SQRT($C$6)</f>
        <v>2.0890086803406942E-3</v>
      </c>
      <c r="H8">
        <f t="shared" si="2"/>
        <v>9.7771826330912637E-2</v>
      </c>
      <c r="I8">
        <f t="shared" si="2"/>
        <v>0.12504182039065559</v>
      </c>
      <c r="J8">
        <f t="shared" si="2"/>
        <v>1.8806233771130432E-2</v>
      </c>
      <c r="K8">
        <f t="shared" si="2"/>
        <v>3.4534328087424633E-2</v>
      </c>
      <c r="L8">
        <f t="shared" si="2"/>
        <v>7.0513984707016898E-3</v>
      </c>
    </row>
    <row r="9" spans="1:12" x14ac:dyDescent="0.25">
      <c r="A9" t="s">
        <v>138</v>
      </c>
      <c r="B9">
        <f>1+RESULTADOS_R!C16</f>
        <v>5</v>
      </c>
      <c r="C9">
        <f>$C$3-B9</f>
        <v>95</v>
      </c>
    </row>
    <row r="10" spans="1:12" x14ac:dyDescent="0.25">
      <c r="A10" t="s">
        <v>139</v>
      </c>
      <c r="B10">
        <f>1+RESULTADOS_R!C17</f>
        <v>6</v>
      </c>
      <c r="C10">
        <f>$C$3-B10</f>
        <v>94</v>
      </c>
      <c r="E10" t="s">
        <v>203</v>
      </c>
    </row>
    <row r="11" spans="1:12" x14ac:dyDescent="0.25">
      <c r="A11" t="s">
        <v>140</v>
      </c>
      <c r="B11">
        <f>1+RESULTADOS_R!C18</f>
        <v>3</v>
      </c>
      <c r="C11">
        <f t="shared" ref="C11:C15" si="3">$C$3-B11</f>
        <v>97</v>
      </c>
      <c r="E11" t="s">
        <v>200</v>
      </c>
      <c r="F11">
        <f>SUM('EV1-ER-AR'!I102:I111)</f>
        <v>-0.15557806854197206</v>
      </c>
      <c r="G11">
        <f>SUM('EV1-ER-AR'!T102:T111)</f>
        <v>1.6161832068634665E-2</v>
      </c>
      <c r="H11">
        <f>SUM('EV1-ER-AR'!AB102:AB111)</f>
        <v>-8.2750818378003826E-2</v>
      </c>
      <c r="I11">
        <f>SUM('EV1-ER-AR'!AH102:AH111)</f>
        <v>-0.16151120625990364</v>
      </c>
      <c r="J11">
        <f>SUM('EV1-ER-AR'!AR102:AR111)</f>
        <v>2.1328432043695666E-2</v>
      </c>
      <c r="K11">
        <f>SUM('EV1-ER-AR'!AZ102:AZ111)</f>
        <v>-6.9993061986130312E-2</v>
      </c>
      <c r="L11">
        <f>SUM('EV1-ER-AR'!BG102:BG111)</f>
        <v>-2.7033619553834102E-2</v>
      </c>
    </row>
    <row r="12" spans="1:12" x14ac:dyDescent="0.25">
      <c r="A12" t="s">
        <v>141</v>
      </c>
      <c r="B12">
        <f>1+RESULTADOS_R!C19</f>
        <v>1</v>
      </c>
      <c r="C12">
        <f t="shared" si="3"/>
        <v>99</v>
      </c>
      <c r="E12" t="s">
        <v>204</v>
      </c>
      <c r="F12">
        <f>SUM('EV1-ER-AR'!I112:I115)</f>
        <v>-0.14468169851997273</v>
      </c>
      <c r="G12">
        <f>SUM('EV1-ER-AR'!T112:T115)</f>
        <v>3.0219246837171585E-3</v>
      </c>
      <c r="H12">
        <f>SUM('EV1-ER-AR'!AB112:AB115)</f>
        <v>-0.14349185066158493</v>
      </c>
      <c r="I12">
        <f>SUM('EV1-ER-AR'!AH112:AH115)</f>
        <v>-0.18002333049826127</v>
      </c>
      <c r="J12">
        <f>SUM('EV1-ER-AR'!AR112:AR115)</f>
        <v>-2.1509645046616399E-2</v>
      </c>
      <c r="K12">
        <f>SUM('EV1-ER-AR'!AZ112:AZ115)</f>
        <v>-4.3958596939044955E-2</v>
      </c>
      <c r="L12">
        <f>SUM('EV1-ER-AR'!BG112:BG115)</f>
        <v>-1.6845370003236533E-3</v>
      </c>
    </row>
    <row r="13" spans="1:12" x14ac:dyDescent="0.25">
      <c r="A13" t="s">
        <v>144</v>
      </c>
      <c r="B13">
        <f>1+RESULTADOS_R!C20</f>
        <v>5</v>
      </c>
      <c r="C13">
        <f t="shared" si="3"/>
        <v>95</v>
      </c>
      <c r="E13" t="s">
        <v>202</v>
      </c>
      <c r="F13">
        <f>SUM('EV1-ER-AR'!I116:I125)</f>
        <v>-0.1970474486371652</v>
      </c>
      <c r="G13">
        <f>SUM('EV1-ER-AR'!T116:T125)</f>
        <v>5.4996368148051058E-3</v>
      </c>
      <c r="H13">
        <f>SUM('EV1-ER-AR'!AB116:AB125)</f>
        <v>-0.19490053668808988</v>
      </c>
      <c r="I13">
        <f>SUM('EV1-ER-AR'!AH116:AH125)</f>
        <v>-0.40187087981049707</v>
      </c>
      <c r="J13">
        <f>SUM('EV1-ER-AR'!AR116:AR125)</f>
        <v>-2.5081478509955839E-2</v>
      </c>
      <c r="K13">
        <f>SUM('EV1-ER-AR'!AZ116:AZ125)</f>
        <v>-0.19075039214790152</v>
      </c>
      <c r="L13">
        <f>SUM('EV1-ER-AR'!BG116:BG125)</f>
        <v>3.452338541792032E-2</v>
      </c>
    </row>
    <row r="14" spans="1:12" x14ac:dyDescent="0.25">
      <c r="A14" t="s">
        <v>145</v>
      </c>
      <c r="B14">
        <f>1+RESULTADOS_R!C21</f>
        <v>3</v>
      </c>
      <c r="C14">
        <f t="shared" si="3"/>
        <v>97</v>
      </c>
    </row>
    <row r="15" spans="1:12" x14ac:dyDescent="0.25">
      <c r="A15" t="s">
        <v>146</v>
      </c>
      <c r="B15">
        <f>1+RESULTADOS_R!C22</f>
        <v>2</v>
      </c>
      <c r="C15">
        <f t="shared" si="3"/>
        <v>98</v>
      </c>
    </row>
    <row r="16" spans="1:12" x14ac:dyDescent="0.25">
      <c r="E16" t="s">
        <v>205</v>
      </c>
    </row>
    <row r="17" spans="1:12" x14ac:dyDescent="0.25">
      <c r="E17" t="s">
        <v>200</v>
      </c>
      <c r="F17">
        <f>F11/F6</f>
        <v>-9.1997612921002183</v>
      </c>
      <c r="G17">
        <f t="shared" ref="G17:L17" si="4">G11/G6</f>
        <v>7.7366035961127979</v>
      </c>
      <c r="H17">
        <f t="shared" si="4"/>
        <v>-0.84636670381844348</v>
      </c>
      <c r="I17">
        <f t="shared" si="4"/>
        <v>-1.2916575091062368</v>
      </c>
      <c r="J17">
        <f t="shared" si="4"/>
        <v>1.1341150122486021</v>
      </c>
      <c r="K17">
        <f t="shared" si="4"/>
        <v>-2.026767736987408</v>
      </c>
      <c r="L17">
        <f t="shared" si="4"/>
        <v>-3.8337954756291013</v>
      </c>
    </row>
    <row r="18" spans="1:12" x14ac:dyDescent="0.25">
      <c r="E18" t="s">
        <v>204</v>
      </c>
      <c r="F18">
        <f t="shared" ref="F18:L19" si="5">F12/F7</f>
        <v>-13.527320698609659</v>
      </c>
      <c r="G18">
        <f>G12/G7</f>
        <v>2.2872487338041272</v>
      </c>
      <c r="H18">
        <f t="shared" si="5"/>
        <v>-2.320510369866545</v>
      </c>
      <c r="I18">
        <f>I12/I7</f>
        <v>-2.2763734347644831</v>
      </c>
      <c r="J18">
        <f t="shared" si="5"/>
        <v>-1.808428812404842</v>
      </c>
      <c r="K18">
        <f>K12/K7</f>
        <v>-2.0126247819384528</v>
      </c>
      <c r="L18">
        <f t="shared" si="5"/>
        <v>-0.37772462767378195</v>
      </c>
    </row>
    <row r="19" spans="1:12" x14ac:dyDescent="0.25">
      <c r="E19" t="s">
        <v>202</v>
      </c>
      <c r="F19">
        <f t="shared" si="5"/>
        <v>-11.651960380201283</v>
      </c>
      <c r="G19">
        <f t="shared" si="5"/>
        <v>2.6326538834238717</v>
      </c>
      <c r="H19">
        <f t="shared" si="5"/>
        <v>-1.9934222771746255</v>
      </c>
      <c r="I19">
        <f t="shared" si="5"/>
        <v>-3.2138917888029161</v>
      </c>
      <c r="J19">
        <f t="shared" si="5"/>
        <v>-1.3336789713025143</v>
      </c>
      <c r="K19">
        <f t="shared" si="5"/>
        <v>-5.5235008964127372</v>
      </c>
      <c r="L19">
        <f>L13/L8</f>
        <v>4.8959629159185596</v>
      </c>
    </row>
    <row r="21" spans="1:12" x14ac:dyDescent="0.25">
      <c r="E21" t="s">
        <v>166</v>
      </c>
    </row>
    <row r="22" spans="1:12" x14ac:dyDescent="0.25">
      <c r="E22" t="s">
        <v>200</v>
      </c>
      <c r="F22">
        <f>_xlfn.T.DIST.2T(ABS(F17),$C$9)</f>
        <v>8.4858452068194522E-15</v>
      </c>
      <c r="G22">
        <f>_xlfn.T.DIST.2T(ABS(G17),$C$10)</f>
        <v>1.1353879355836927E-11</v>
      </c>
      <c r="H22">
        <f>_xlfn.T.DIST.2T(ABS(H17),$C$11)</f>
        <v>0.39943139540337169</v>
      </c>
      <c r="I22">
        <f>_xlfn.T.DIST.2T(ABS(I17),$C$12)</f>
        <v>0.19948320641758696</v>
      </c>
      <c r="J22">
        <f>_xlfn.T.DIST.2T(ABS(J17),$C$13)</f>
        <v>0.25960002370832547</v>
      </c>
      <c r="K22">
        <f>_xlfn.T.DIST.2T(ABS(K17),$C$14)</f>
        <v>4.5430780070635189E-2</v>
      </c>
      <c r="L22">
        <f>_xlfn.T.DIST.2T(ABS(L17),$C$15)</f>
        <v>2.2306975200967705E-4</v>
      </c>
    </row>
    <row r="23" spans="1:12" x14ac:dyDescent="0.25">
      <c r="E23" t="s">
        <v>204</v>
      </c>
      <c r="F23">
        <f t="shared" ref="F23:F24" si="6">_xlfn.T.DIST.2T(ABS(F18),$C$9)</f>
        <v>7.0965293257036296E-24</v>
      </c>
      <c r="G23">
        <f>_xlfn.T.DIST.2T(ABS(G18),$C$10)</f>
        <v>2.442457489245773E-2</v>
      </c>
      <c r="H23">
        <f>_xlfn.T.DIST.2T(ABS(H18),$C$11)</f>
        <v>2.2408372994609935E-2</v>
      </c>
      <c r="I23">
        <f>_xlfn.T.DIST.2T(ABS(I18),$C$12)</f>
        <v>2.497702133719645E-2</v>
      </c>
      <c r="J23">
        <f t="shared" ref="J23:J24" si="7">_xlfn.T.DIST.2T(ABS(J18),$C$13)</f>
        <v>7.3703545042505841E-2</v>
      </c>
      <c r="K23">
        <f t="shared" ref="K23:K24" si="8">_xlfn.T.DIST.2T(ABS(K18),$C$14)</f>
        <v>4.6926203714269477E-2</v>
      </c>
      <c r="L23">
        <f t="shared" ref="L23:L24" si="9">_xlfn.T.DIST.2T(ABS(L18),$C$15)</f>
        <v>0.70645202057268763</v>
      </c>
    </row>
    <row r="24" spans="1:12" x14ac:dyDescent="0.25">
      <c r="E24" t="s">
        <v>202</v>
      </c>
      <c r="F24">
        <f t="shared" si="6"/>
        <v>5.1887126034034415E-20</v>
      </c>
      <c r="G24">
        <f>_xlfn.T.DIST.2T(ABS(G19),$C$10)</f>
        <v>9.9045122675698889E-3</v>
      </c>
      <c r="H24">
        <f>_xlfn.T.DIST.2T(ABS(H19),$C$11)</f>
        <v>4.9023769436643071E-2</v>
      </c>
      <c r="I24">
        <f t="shared" ref="I24" si="10">_xlfn.T.DIST.2T(ABS(I19),$C$12)</f>
        <v>1.7680958843654235E-3</v>
      </c>
      <c r="J24">
        <f t="shared" si="7"/>
        <v>0.18549790373556474</v>
      </c>
      <c r="K24">
        <f t="shared" si="8"/>
        <v>2.784117142577384E-7</v>
      </c>
      <c r="L24">
        <f t="shared" si="9"/>
        <v>3.8534862046754325E-6</v>
      </c>
    </row>
    <row r="26" spans="1:12" x14ac:dyDescent="0.25">
      <c r="A26" s="5" t="s">
        <v>206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x14ac:dyDescent="0.25">
      <c r="B27" t="s">
        <v>194</v>
      </c>
      <c r="C27" t="s">
        <v>195</v>
      </c>
      <c r="F27" t="s">
        <v>138</v>
      </c>
      <c r="G27" t="s">
        <v>139</v>
      </c>
      <c r="H27" t="s">
        <v>140</v>
      </c>
      <c r="I27" t="s">
        <v>141</v>
      </c>
      <c r="J27" t="s">
        <v>144</v>
      </c>
      <c r="K27" t="s">
        <v>145</v>
      </c>
      <c r="L27" t="s">
        <v>146</v>
      </c>
    </row>
    <row r="28" spans="1:12" x14ac:dyDescent="0.25">
      <c r="A28" s="4" t="s">
        <v>137</v>
      </c>
      <c r="B28" t="s">
        <v>133</v>
      </c>
      <c r="C28">
        <v>100</v>
      </c>
      <c r="E28" t="s">
        <v>198</v>
      </c>
      <c r="F28">
        <f>_xlfn.STDEV.S('EV2-ER-AR'!E2:E101)</f>
        <v>9.6430581437920177E-3</v>
      </c>
      <c r="G28">
        <f>_xlfn.STDEV.S('EV2-ER-AR'!O6:O101)</f>
        <v>6.0747936663044884E-4</v>
      </c>
      <c r="H28">
        <f>_xlfn.STDEV.S('EV2-ER-AR'!U2:U101)</f>
        <v>3.8083107879790842E-2</v>
      </c>
      <c r="I28">
        <f>_xlfn.STDEV.S('EV2-ER-AR'!AA2:AA101)</f>
        <v>4.8043955110116998E-2</v>
      </c>
      <c r="J28">
        <f>_xlfn.STDEV.S('EV2-ER-AR'!AK6:AK101)</f>
        <v>7.1867258015930685E-3</v>
      </c>
      <c r="K28">
        <f>_xlfn.STDEV.S('EV2-ER-AR'!AU6:AU101)</f>
        <v>1.2759037590346538E-2</v>
      </c>
      <c r="L28">
        <f>_xlfn.STDEV.S('EV2-ER-AR'!BA2:BA101)</f>
        <v>3.53452052421952E-3</v>
      </c>
    </row>
    <row r="29" spans="1:12" x14ac:dyDescent="0.25">
      <c r="A29" s="4"/>
      <c r="B29" t="s">
        <v>130</v>
      </c>
      <c r="C29">
        <v>10</v>
      </c>
    </row>
    <row r="30" spans="1:12" x14ac:dyDescent="0.25">
      <c r="A30" s="4"/>
      <c r="B30" t="s">
        <v>131</v>
      </c>
      <c r="C30">
        <v>5</v>
      </c>
      <c r="E30" t="s">
        <v>199</v>
      </c>
    </row>
    <row r="31" spans="1:12" x14ac:dyDescent="0.25">
      <c r="A31" s="4"/>
      <c r="B31" t="s">
        <v>132</v>
      </c>
      <c r="C31">
        <v>10</v>
      </c>
      <c r="E31" t="s">
        <v>200</v>
      </c>
      <c r="F31">
        <f>F28*SQRT($C$29)</f>
        <v>3.0494027343818259E-2</v>
      </c>
      <c r="G31">
        <f t="shared" ref="G31:L31" si="11">G28*SQRT($C$29)</f>
        <v>1.921018430108705E-3</v>
      </c>
      <c r="H31">
        <f t="shared" si="11"/>
        <v>0.12042936127804496</v>
      </c>
      <c r="I31">
        <f t="shared" si="11"/>
        <v>0.15192832595085545</v>
      </c>
      <c r="J31">
        <f t="shared" si="11"/>
        <v>2.2726422452133452E-2</v>
      </c>
      <c r="K31">
        <f t="shared" si="11"/>
        <v>4.0347619537201451E-2</v>
      </c>
      <c r="L31">
        <f t="shared" si="11"/>
        <v>1.1177135293146017E-2</v>
      </c>
    </row>
    <row r="32" spans="1:12" x14ac:dyDescent="0.25">
      <c r="E32" t="s">
        <v>201</v>
      </c>
      <c r="F32">
        <f>F28*SQRT($C$30)</f>
        <v>2.1562533520501893E-2</v>
      </c>
      <c r="G32">
        <f t="shared" ref="G32:K32" si="12">G28*SQRT($C$30)</f>
        <v>1.3583651587142011E-3</v>
      </c>
      <c r="H32">
        <f t="shared" si="12"/>
        <v>8.5156418013670215E-2</v>
      </c>
      <c r="I32">
        <f t="shared" si="12"/>
        <v>0.10742954953417001</v>
      </c>
      <c r="J32">
        <f t="shared" si="12"/>
        <v>1.6070007428013768E-2</v>
      </c>
      <c r="K32">
        <f t="shared" si="12"/>
        <v>2.8530075379489976E-2</v>
      </c>
      <c r="L32">
        <f>L28*SQRT($C$30)</f>
        <v>7.9034281600230388E-3</v>
      </c>
    </row>
    <row r="33" spans="1:12" x14ac:dyDescent="0.25">
      <c r="B33" s="1" t="s">
        <v>197</v>
      </c>
      <c r="C33" t="s">
        <v>196</v>
      </c>
      <c r="E33" t="s">
        <v>202</v>
      </c>
      <c r="F33">
        <f>F28*SQRT($C$31)</f>
        <v>3.0494027343818259E-2</v>
      </c>
      <c r="G33">
        <f t="shared" ref="G33:L33" si="13">G28*SQRT($C$31)</f>
        <v>1.921018430108705E-3</v>
      </c>
      <c r="H33">
        <f t="shared" si="13"/>
        <v>0.12042936127804496</v>
      </c>
      <c r="I33">
        <f t="shared" si="13"/>
        <v>0.15192832595085545</v>
      </c>
      <c r="J33">
        <f t="shared" si="13"/>
        <v>2.2726422452133452E-2</v>
      </c>
      <c r="K33">
        <f t="shared" si="13"/>
        <v>4.0347619537201451E-2</v>
      </c>
      <c r="L33">
        <f t="shared" si="13"/>
        <v>1.1177135293146017E-2</v>
      </c>
    </row>
    <row r="34" spans="1:12" x14ac:dyDescent="0.25">
      <c r="A34" t="s">
        <v>138</v>
      </c>
      <c r="B34">
        <f>1+RESULTADOS_R!D16</f>
        <v>1</v>
      </c>
      <c r="C34">
        <f>$C$28-B34</f>
        <v>99</v>
      </c>
    </row>
    <row r="35" spans="1:12" x14ac:dyDescent="0.25">
      <c r="A35" t="s">
        <v>139</v>
      </c>
      <c r="B35">
        <f>1+RESULTADOS_R!D17</f>
        <v>5</v>
      </c>
      <c r="C35">
        <f t="shared" ref="C35:C40" si="14">$C$28-B35</f>
        <v>95</v>
      </c>
      <c r="E35" t="s">
        <v>203</v>
      </c>
    </row>
    <row r="36" spans="1:12" x14ac:dyDescent="0.25">
      <c r="A36" t="s">
        <v>140</v>
      </c>
      <c r="B36">
        <f>1+RESULTADOS_R!D18</f>
        <v>1</v>
      </c>
      <c r="C36">
        <f t="shared" si="14"/>
        <v>99</v>
      </c>
      <c r="E36" t="s">
        <v>200</v>
      </c>
      <c r="F36">
        <f>SUM('EV2-ER-AR'!E102:E111)</f>
        <v>-2.8131710212544864E-2</v>
      </c>
      <c r="G36">
        <f>SUM('EV2-ER-AR'!O102:O111)</f>
        <v>-8.999315793603687E-3</v>
      </c>
      <c r="H36">
        <f>SUM('EV2-ER-AR'!U102:U111)</f>
        <v>0.19311599876146754</v>
      </c>
      <c r="I36">
        <f>SUM('EV2-ER-AR'!AA102:AA111)</f>
        <v>0.17144836371399577</v>
      </c>
      <c r="J36">
        <f>SUM('EV2-ER-AR'!AK102:AK111)</f>
        <v>3.560953919332259E-2</v>
      </c>
      <c r="K36">
        <f>SUM('EV2-ER-AR'!AU102:AU111)</f>
        <v>3.5899538194745395E-2</v>
      </c>
      <c r="L36">
        <f>SUM('EV2-ER-AR'!BA102:BA111)</f>
        <v>-6.0115547550235997E-3</v>
      </c>
    </row>
    <row r="37" spans="1:12" x14ac:dyDescent="0.25">
      <c r="A37" t="s">
        <v>141</v>
      </c>
      <c r="B37">
        <f>1+RESULTADOS_R!D19</f>
        <v>1</v>
      </c>
      <c r="C37">
        <f t="shared" si="14"/>
        <v>99</v>
      </c>
      <c r="E37" t="s">
        <v>204</v>
      </c>
      <c r="F37">
        <f>SUM('EV2-ER-AR'!E112:E116)</f>
        <v>-4.3970429647258044E-2</v>
      </c>
      <c r="G37">
        <f>SUM('EV2-ER-AR'!O112:O116)</f>
        <v>2.7064238234923562E-3</v>
      </c>
      <c r="H37">
        <f>SUM('EV2-ER-AR'!U112:U116)</f>
        <v>-0.12730146038222406</v>
      </c>
      <c r="I37">
        <f>SUM('EV2-ER-AR'!AA112:AA116)</f>
        <v>-0.17657674203757495</v>
      </c>
      <c r="J37">
        <f>SUM('EV2-ER-AR'!AK112:AK116)</f>
        <v>1.6336671233199908E-2</v>
      </c>
      <c r="K37">
        <f>SUM('EV2-ER-AR'!AU112:AU116)</f>
        <v>1.2784746957469898E-2</v>
      </c>
      <c r="L37">
        <f>SUM('EV2-ER-AR'!BA112:BA116)</f>
        <v>1.3114105454320023E-2</v>
      </c>
    </row>
    <row r="38" spans="1:12" x14ac:dyDescent="0.25">
      <c r="A38" t="s">
        <v>144</v>
      </c>
      <c r="B38">
        <f>1+RESULTADOS_R!D20</f>
        <v>5</v>
      </c>
      <c r="C38">
        <f t="shared" si="14"/>
        <v>95</v>
      </c>
      <c r="E38" t="s">
        <v>202</v>
      </c>
      <c r="F38">
        <f>SUM('EV2-ER-AR'!E117:E126)</f>
        <v>-9.7181788374178131E-3</v>
      </c>
      <c r="G38">
        <f>SUM('EV2-ER-AR'!O117:O126)</f>
        <v>2.13394786443301E-4</v>
      </c>
      <c r="H38">
        <f>SUM('EV2-ER-AR'!U117:U126)</f>
        <v>4.7855154762542401E-2</v>
      </c>
      <c r="I38">
        <f>SUM('EV2-ER-AR'!AA117:AA126)</f>
        <v>2.1824470981690283E-2</v>
      </c>
      <c r="J38">
        <f>SUM('EV2-ER-AR'!AK117:AK126)</f>
        <v>5.5057963927107496E-2</v>
      </c>
      <c r="K38">
        <f>SUM('EV2-ER-AR'!AU117:AU126)</f>
        <v>6.4736703792607736E-2</v>
      </c>
      <c r="L38">
        <f>SUM('EV2-ER-AR'!BA117:BA126)</f>
        <v>1.0446258463394637E-2</v>
      </c>
    </row>
    <row r="39" spans="1:12" x14ac:dyDescent="0.25">
      <c r="A39" t="s">
        <v>145</v>
      </c>
      <c r="B39">
        <f>1+RESULTADOS_R!D21</f>
        <v>5</v>
      </c>
      <c r="C39">
        <f t="shared" si="14"/>
        <v>95</v>
      </c>
    </row>
    <row r="40" spans="1:12" x14ac:dyDescent="0.25">
      <c r="A40" t="s">
        <v>146</v>
      </c>
      <c r="B40">
        <f>1+RESULTADOS_R!D22</f>
        <v>1</v>
      </c>
      <c r="C40">
        <f t="shared" si="14"/>
        <v>99</v>
      </c>
    </row>
    <row r="41" spans="1:12" x14ac:dyDescent="0.25">
      <c r="E41" t="s">
        <v>205</v>
      </c>
    </row>
    <row r="42" spans="1:12" x14ac:dyDescent="0.25">
      <c r="E42" t="s">
        <v>200</v>
      </c>
      <c r="F42">
        <f>F36/F31</f>
        <v>-0.9225318091100787</v>
      </c>
      <c r="G42">
        <f t="shared" ref="G42:L42" si="15">G36/G31</f>
        <v>-4.6846587479613309</v>
      </c>
      <c r="H42">
        <f>H36/H31</f>
        <v>1.6035624262392714</v>
      </c>
      <c r="I42">
        <f t="shared" si="15"/>
        <v>1.1284818853954497</v>
      </c>
      <c r="J42">
        <f t="shared" si="15"/>
        <v>1.5668783447251167</v>
      </c>
      <c r="K42">
        <f t="shared" si="15"/>
        <v>0.88975604029489719</v>
      </c>
      <c r="L42">
        <f t="shared" si="15"/>
        <v>-0.53784396424994274</v>
      </c>
    </row>
    <row r="43" spans="1:12" x14ac:dyDescent="0.25">
      <c r="E43" t="s">
        <v>204</v>
      </c>
      <c r="F43">
        <f t="shared" ref="F43:L44" si="16">F37/F32</f>
        <v>-2.0392051613717133</v>
      </c>
      <c r="G43">
        <f t="shared" si="16"/>
        <v>1.9924125748736061</v>
      </c>
      <c r="H43">
        <f>H37/H32</f>
        <v>-1.4949132825407039</v>
      </c>
      <c r="I43">
        <f t="shared" si="16"/>
        <v>-1.643651516768311</v>
      </c>
      <c r="J43">
        <f>J37/J32</f>
        <v>1.0165938818871536</v>
      </c>
      <c r="K43">
        <f t="shared" si="16"/>
        <v>0.44811472761339921</v>
      </c>
      <c r="L43">
        <f t="shared" si="16"/>
        <v>1.6592933077640317</v>
      </c>
    </row>
    <row r="44" spans="1:12" x14ac:dyDescent="0.25">
      <c r="E44" t="s">
        <v>202</v>
      </c>
      <c r="F44">
        <f t="shared" si="16"/>
        <v>-0.31869122198409389</v>
      </c>
      <c r="G44">
        <f t="shared" si="16"/>
        <v>0.11108419528865508</v>
      </c>
      <c r="H44">
        <f t="shared" si="16"/>
        <v>0.39737115811861989</v>
      </c>
      <c r="I44">
        <f>I38/I33</f>
        <v>0.14364978252146271</v>
      </c>
      <c r="J44">
        <f>J38/J33</f>
        <v>2.4226410488967614</v>
      </c>
      <c r="K44">
        <f t="shared" si="16"/>
        <v>1.6044739326670556</v>
      </c>
      <c r="L44">
        <f t="shared" si="16"/>
        <v>0.9346096463375938</v>
      </c>
    </row>
    <row r="46" spans="1:12" x14ac:dyDescent="0.25">
      <c r="E46" t="s">
        <v>166</v>
      </c>
    </row>
    <row r="47" spans="1:12" x14ac:dyDescent="0.25">
      <c r="E47" t="s">
        <v>200</v>
      </c>
      <c r="F47" s="2">
        <f>_xlfn.T.DIST.2T(ABS(F42),$C$34)</f>
        <v>0.35849411210525928</v>
      </c>
      <c r="G47" s="2">
        <f>_xlfn.T.DIST.2T(ABS(G42),$C$35)</f>
        <v>9.3367065178515948E-6</v>
      </c>
      <c r="H47" s="2">
        <f>_xlfn.T.DIST.2T(ABS(H42),$C$36)</f>
        <v>0.11199628312432772</v>
      </c>
      <c r="I47" s="2">
        <f>_xlfn.T.DIST.2T(ABS(I42),$C$37)</f>
        <v>0.261843730301557</v>
      </c>
      <c r="J47" s="2">
        <f>_xlfn.T.DIST.2T(ABS(J42),$C$38)</f>
        <v>0.12046818917838609</v>
      </c>
      <c r="K47" s="2">
        <f>_xlfn.T.DIST.2T(ABS(K42),$C$39)</f>
        <v>0.37584452231752741</v>
      </c>
      <c r="L47" s="2">
        <f>_xlfn.T.DIST.2T(ABS(L42),$C$40)</f>
        <v>0.59189181941014946</v>
      </c>
    </row>
    <row r="48" spans="1:12" x14ac:dyDescent="0.25">
      <c r="E48" t="s">
        <v>204</v>
      </c>
      <c r="F48" s="2">
        <f t="shared" ref="F48:F49" si="17">_xlfn.T.DIST.2T(ABS(F43),$C$34)</f>
        <v>4.4094338597305674E-2</v>
      </c>
      <c r="G48" s="2">
        <f t="shared" ref="G48:G49" si="18">_xlfn.T.DIST.2T(ABS(G43),$C$35)</f>
        <v>4.9195669863196331E-2</v>
      </c>
      <c r="H48" s="2">
        <f t="shared" ref="H48:H49" si="19">_xlfn.T.DIST.2T(ABS(H43),$C$36)</f>
        <v>0.13811788451964144</v>
      </c>
      <c r="I48" s="2">
        <f t="shared" ref="I48:I49" si="20">_xlfn.T.DIST.2T(ABS(I43),$C$37)</f>
        <v>0.10342043892101631</v>
      </c>
      <c r="J48" s="2">
        <f t="shared" ref="J48:J49" si="21">_xlfn.T.DIST.2T(ABS(J43),$C$38)</f>
        <v>0.31192873568473894</v>
      </c>
      <c r="K48" s="2">
        <f t="shared" ref="K48:K49" si="22">_xlfn.T.DIST.2T(ABS(K43),$C$39)</f>
        <v>0.65509070745970921</v>
      </c>
      <c r="L48" s="2">
        <f>_xlfn.T.DIST.2T(ABS(L43),$C$40)</f>
        <v>0.1002214834397659</v>
      </c>
    </row>
    <row r="49" spans="5:12" x14ac:dyDescent="0.25">
      <c r="E49" t="s">
        <v>202</v>
      </c>
      <c r="F49" s="2">
        <f t="shared" si="17"/>
        <v>0.75063205431247626</v>
      </c>
      <c r="G49" s="2">
        <f t="shared" si="18"/>
        <v>0.91178393496556576</v>
      </c>
      <c r="H49" s="2">
        <f t="shared" si="19"/>
        <v>0.69194923140747511</v>
      </c>
      <c r="I49" s="2">
        <f t="shared" si="20"/>
        <v>0.8860690229873629</v>
      </c>
      <c r="J49" s="2">
        <f t="shared" si="21"/>
        <v>1.7303950511486477E-2</v>
      </c>
      <c r="K49" s="2">
        <f t="shared" si="22"/>
        <v>0.11192908905734873</v>
      </c>
      <c r="L49" s="2">
        <f t="shared" ref="L49" si="23">_xlfn.T.DIST.2T(ABS(L44),$C$40)</f>
        <v>0.35226356750047749</v>
      </c>
    </row>
  </sheetData>
  <mergeCells count="4">
    <mergeCell ref="A3:A6"/>
    <mergeCell ref="A1:L1"/>
    <mergeCell ref="A26:L26"/>
    <mergeCell ref="A28:A3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EV1</vt:lpstr>
      <vt:lpstr>EV2</vt:lpstr>
      <vt:lpstr>EV1-ER-AR</vt:lpstr>
      <vt:lpstr>EV2-ER-AR</vt:lpstr>
      <vt:lpstr>RESULTADOS_R</vt:lpstr>
      <vt:lpstr>EVENT-STUDY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2026-07-21T00:11:33Z</dcterms:created>
  <dcterms:modified xsi:type="dcterms:W3CDTF">2026-07-28T18:34:04Z</dcterms:modified>
</cp:coreProperties>
</file>